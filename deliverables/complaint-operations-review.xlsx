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610e40ba0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 review" sheetId="1" r:id="R8b84db964023426a"/>
    <x:sheet xmlns:r="http://schemas.openxmlformats.org/officeDocument/2006/relationships" name="Monthly" sheetId="2" r:id="Ra20aa82cf1d745b8"/>
    <x:sheet xmlns:r="http://schemas.openxmlformats.org/officeDocument/2006/relationships" name="Review queue" sheetId="3" r:id="R1b860488550c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@"/>
  </x:numFmts>
  <x:fonts count="8">
    <x:font>
      <x:sz val="11"/>
      <x:name val="Carlito"/>
    </x:font>
    <x:font>
      <x:sz val="10"/>
      <x:color rgb="FF18283F"/>
      <x:name val="Arial"/>
    </x:font>
    <x:font>
      <x:b/>
      <x:sz val="18"/>
      <x:color rgb="FF18283F"/>
      <x:name val="Arial"/>
    </x:font>
    <x:font>
      <x:sz val="10"/>
      <x:color rgb="FF65758A"/>
      <x:name val="Arial"/>
    </x:font>
    <x:font>
      <x:sz val="10"/>
      <x:color rgb="FF3067B0"/>
      <x:name val="Arial"/>
    </x:font>
    <x:font>
      <x:sz val="9"/>
      <x:color rgb="FF65758A"/>
      <x:name val="Arial"/>
    </x:font>
    <x:font>
      <x:b/>
      <x:sz val="12"/>
      <x:color rgb="FF18283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DF"/>
      </x:patternFill>
    </x:fill>
    <x:fill>
      <x:patternFill patternType="solid">
        <x:fgColor rgb="FFEDF6FF"/>
      </x:patternFill>
    </x:fill>
    <x:fill>
      <x:patternFill patternType="solid">
        <x:fgColor rgb="FF18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  <x:xf numFmtId="202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2" borderId="0" xfId="0" applyNumberFormat="1" applyFont="1" applyFill="1" applyBorder="1"/>
    <x:xf numFmtId="200" fontId="4" fillId="2" borderId="0" xfId="0" applyNumberFormat="1" applyFont="1" applyFill="1" applyBorder="1"/>
    <x:xf numFmtId="201" fontId="1" fillId="2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2edcf5f2b4ff1" /><Relationship Type="http://schemas.openxmlformats.org/officeDocument/2006/relationships/theme" Target="/xl/theme/theme1.xml" Id="Rd5137d445e114a19" /><Relationship Type="http://schemas.openxmlformats.org/officeDocument/2006/relationships/sharedStrings" Target="/xl/sharedStrings.xml" Id="Rc41ead42f87b49db" /><Relationship Type="http://schemas.openxmlformats.org/officeDocument/2006/relationships/worksheet" Target="/xl/worksheets/sheet1.xml" Id="R8b84db964023426a" /><Relationship Type="http://schemas.openxmlformats.org/officeDocument/2006/relationships/worksheet" Target="/xl/worksheets/sheet2.xml" Id="Ra20aa82cf1d745b8" /><Relationship Type="http://schemas.openxmlformats.org/officeDocument/2006/relationships/worksheet" Target="/xl/worksheets/sheet3.xml" Id="R1b860488550c46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6cd968e4ac4d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Last 12 observed months · final month partial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Cases</c:v>
          </c:tx>
          <c:invertIfNegative val="0"/>
          <c:cat>
            <c:strRef>
              <c:f>'Monthly'!$K$6:$K$17</c:f>
              <c:strCache>
                <c:ptCount val="0"/>
              </c:strCache>
            </c:strRef>
          </c:cat>
          <c:val>
            <c:numRef>
              <c:f>'Monthly'!$L$6:$L$17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6cd968e4ac4dd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annelReview" displayName="ChannelReview" ref="A19:K25" headerRowCount="1" totalsRowCount="0" totalsRowShown="0">
  <x:tableColumns count="11">
    <x:tableColumn id="1" name="Channel"/>
    <x:tableColumn id="2" name="Cases"/>
    <x:tableColumn id="3" name="Timely Yes"/>
    <x:tableColumn id="4" name="Timely No"/>
    <x:tableColumn id="5" name="Unknown flag"/>
    <x:tableColumn id="6" name="Valid intervals"/>
    <x:tableColumn id="7" name="Negative dates"/>
    <x:tableColumn id="8" name="Invalid dates"/>
    <x:tableColumn id="9" name="Routing &gt; days"/>
    <x:tableColumn id="10" name="Mean days"/>
    <x:tableColumn id="11" name="P90 da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Review" displayName="MonthlyReview" ref="A5:I77" headerRowCount="1" totalsRowCount="0" totalsRowShown="0">
  <x:tableColumns count="9">
    <x:tableColumn id="1" name="Received month"/>
    <x:tableColumn id="2" name="Cases"/>
    <x:tableColumn id="3" name="Timely Yes"/>
    <x:tableColumn id="4" name="Timely No"/>
    <x:tableColumn id="5" name="Unknown flag"/>
    <x:tableColumn id="6" name="Timely rate"/>
    <x:tableColumn id="7" name="Valid intervals"/>
    <x:tableColumn id="8" name="Routing &gt; days"/>
    <x:tableColumn id="9" name="Routing review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Review" displayName="CaseReview" ref="A5:J105" headerRowCount="1" totalsRowCount="0" totalsRowShown="0">
  <x:tableColumns count="10">
    <x:tableColumn id="1" name="Complaint ID"/>
    <x:tableColumn id="2" name="Product"/>
    <x:tableColumn id="3" name="Received"/>
    <x:tableColumn id="4" name="Sent to company"/>
    <x:tableColumn id="5" name="Routing days"/>
    <x:tableColumn id="6" name="Review reason"/>
    <x:tableColumn id="7" name="Owner"/>
    <x:tableColumn id="8" name="Review status"/>
    <x:tableColumn id="9" name="Notes"/>
    <x:tableColumn id="10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Portfolio">
  <a:themeElements>
    <a:clrScheme name="Portfoli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ortfoli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78056068f04d1b" /><Relationship Type="http://schemas.openxmlformats.org/officeDocument/2006/relationships/table" Target="/xl/tables/table1.xml" Id="R1a2ad410921540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8474a242b2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3ffefa0ce14d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Complaint intake &amp; response operations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3" t="str">
        <x:v>903,983 historical records | Dec 2011–Nov 15, 2017 | Personal portfolio project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22" t="str">
        <x:v>Metric</x:v>
      </x:c>
      <x:c r="B5" s="22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4" customHeight="1">
      <x:c r="A6" s="1" t="str">
        <x:v>Complaint records</x:v>
      </x:c>
      <x:c r="B6" s="6" t="n">
        <x:f>SUM(B20:B25)</x:f>
        <x:v>903983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4" customHeight="1">
      <x:c r="A7" s="1" t="str">
        <x:v>Source timely: Yes</x:v>
      </x:c>
      <x:c r="B7" s="6" t="n">
        <x:f>SUM(C20:C25)</x:f>
        <x:v>879376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4" customHeight="1">
      <x:c r="A8" s="1" t="str">
        <x:v>Known response denominator</x:v>
      </x:c>
      <x:c r="B8" s="6" t="n">
        <x:f>SUM(C20:D25)</x:f>
        <x:v>903983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24" customHeight="1">
      <x:c r="A9" s="1" t="str">
        <x:v>Source timely rate</x:v>
      </x:c>
      <x:c r="B9" s="8" t="n">
        <x:f>IF(B8=0,"n.a.",B7/B8)</x:f>
        <x:v>0.9727793553639836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4" customHeight="1">
      <x:c r="A10" s="1" t="str">
        <x:v>Valid routing intervals</x:v>
      </x:c>
      <x:c r="B10" s="6" t="n">
        <x:f>SUM(F20:F25)</x:f>
        <x:v>896931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4" customHeight="1">
      <x:c r="A11" s="1" t="str">
        <x:v>Negative date intervals</x:v>
      </x:c>
      <x:c r="B11" s="6" t="n">
        <x:f>SUM(G20:G25)</x:f>
        <x:v>7052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1" t="str">
        <x:v>Routing &gt; review days</x:v>
      </x:c>
      <x:c r="B12" s="6" t="n">
        <x:f>SUM(I20:I25)</x:f>
        <x:v>78562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1"/>
      <x:c r="B13" s="6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4" customHeight="1">
      <x:c r="A14" s="1" t="str">
        <x:v>Review threshold (days)</x:v>
      </x:c>
      <x:c r="B14" s="7" t="n">
        <x:v>7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4" customHeight="1">
      <x:c r="A15" s="1" t="str">
        <x:v>Flagged cases (all reasons)</x:v>
      </x:c>
      <x:c r="B15" s="7" t="n">
        <x:v>105969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5" t="str">
        <x:v>Threshold is a demo review rule; regenerate SQL to change it. No regulatory SLA implied.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5" t="str">
        <x:v>Routing = sent date minus received date. Source timely flag measures a different event.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40" customHeight="1">
      <x:c r="A19" s="22" t="str">
        <x:v>Channel</x:v>
      </x:c>
      <x:c r="B19" s="22" t="str">
        <x:v>Cases</x:v>
      </x:c>
      <x:c r="C19" s="22" t="str">
        <x:v>Timely Yes</x:v>
      </x:c>
      <x:c r="D19" s="22" t="str">
        <x:v>Timely No</x:v>
      </x:c>
      <x:c r="E19" s="22" t="str">
        <x:v>Unknown flag</x:v>
      </x:c>
      <x:c r="F19" s="22" t="str">
        <x:v>Valid intervals</x:v>
      </x:c>
      <x:c r="G19" s="22" t="str">
        <x:v>Negative dates</x:v>
      </x:c>
      <x:c r="H19" s="22" t="str">
        <x:v>Invalid dates</x:v>
      </x:c>
      <x:c r="I19" s="22" t="str">
        <x:v>Routing &gt; days</x:v>
      </x:c>
      <x:c r="J19" s="22" t="str">
        <x:v>Mean days</x:v>
      </x:c>
      <x:c r="K19" s="22" t="str">
        <x:v>P90 days</x:v>
      </x:c>
    </x:row>
    <x:row r="20" ht="24" customHeight="1">
      <x:c r="A20" s="1" t="str">
        <x:v>Web</x:v>
      </x:c>
      <x:c r="B20" s="7" t="n">
        <x:v>634850</x:v>
      </x:c>
      <x:c r="C20" s="7" t="n">
        <x:v>616257</x:v>
      </x:c>
      <x:c r="D20" s="7" t="n">
        <x:v>18593</x:v>
      </x:c>
      <x:c r="E20" s="7" t="n">
        <x:v>0</x:v>
      </x:c>
      <x:c r="F20" s="7" t="n">
        <x:v>627854</x:v>
      </x:c>
      <x:c r="G20" s="7" t="n">
        <x:v>6996</x:v>
      </x:c>
      <x:c r="H20" s="7" t="n">
        <x:v>0</x:v>
      </x:c>
      <x:c r="I20" s="7" t="n">
        <x:v>38131</x:v>
      </x:c>
      <x:c r="J20" s="9" t="n">
        <x:v>2.9643547703765525</x:v>
      </x:c>
      <x:c r="K20" s="9" t="n">
        <x:v>5</x:v>
      </x:c>
    </x:row>
    <x:row r="21" ht="24" customHeight="1">
      <x:c r="A21" s="1" t="str">
        <x:v>Referral</x:v>
      </x:c>
      <x:c r="B21" s="7" t="n">
        <x:v>142931</x:v>
      </x:c>
      <x:c r="C21" s="7" t="n">
        <x:v>140040</x:v>
      </x:c>
      <x:c r="D21" s="7" t="n">
        <x:v>2891</x:v>
      </x:c>
      <x:c r="E21" s="7" t="n">
        <x:v>0</x:v>
      </x:c>
      <x:c r="F21" s="7" t="n">
        <x:v>142880</x:v>
      </x:c>
      <x:c r="G21" s="7" t="n">
        <x:v>51</x:v>
      </x:c>
      <x:c r="H21" s="7" t="n">
        <x:v>0</x:v>
      </x:c>
      <x:c r="I21" s="7" t="n">
        <x:v>19556</x:v>
      </x:c>
      <x:c r="J21" s="9" t="n">
        <x:v>5.990915453527435</x:v>
      </x:c>
      <x:c r="K21" s="9" t="n">
        <x:v>11</x:v>
      </x:c>
    </x:row>
    <x:row r="22" ht="24" customHeight="1">
      <x:c r="A22" s="1" t="str">
        <x:v>Phone</x:v>
      </x:c>
      <x:c r="B22" s="7" t="n">
        <x:v>58505</x:v>
      </x:c>
      <x:c r="C22" s="7" t="n">
        <x:v>56691</x:v>
      </x:c>
      <x:c r="D22" s="7" t="n">
        <x:v>1814</x:v>
      </x:c>
      <x:c r="E22" s="7" t="n">
        <x:v>0</x:v>
      </x:c>
      <x:c r="F22" s="7" t="n">
        <x:v>58504</x:v>
      </x:c>
      <x:c r="G22" s="7" t="n">
        <x:v>1</x:v>
      </x:c>
      <x:c r="H22" s="7" t="n">
        <x:v>0</x:v>
      </x:c>
      <x:c r="I22" s="7" t="n">
        <x:v>5389</x:v>
      </x:c>
      <x:c r="J22" s="9" t="n">
        <x:v>4.598420620812252</x:v>
      </x:c>
      <x:c r="K22" s="9" t="n">
        <x:v>7</x:v>
      </x:c>
    </x:row>
    <x:row r="23" ht="24" customHeight="1">
      <x:c r="A23" s="1" t="str">
        <x:v>Postal mail</x:v>
      </x:c>
      <x:c r="B23" s="7" t="n">
        <x:v>55066</x:v>
      </x:c>
      <x:c r="C23" s="7" t="n">
        <x:v>54064</x:v>
      </x:c>
      <x:c r="D23" s="7" t="n">
        <x:v>1002</x:v>
      </x:c>
      <x:c r="E23" s="7" t="n">
        <x:v>0</x:v>
      </x:c>
      <x:c r="F23" s="7" t="n">
        <x:v>55065</x:v>
      </x:c>
      <x:c r="G23" s="7" t="n">
        <x:v>1</x:v>
      </x:c>
      <x:c r="H23" s="7" t="n">
        <x:v>0</x:v>
      </x:c>
      <x:c r="I23" s="7" t="n">
        <x:v>13467</x:v>
      </x:c>
      <x:c r="J23" s="9" t="n">
        <x:v>8.217415781349315</x:v>
      </x:c>
      <x:c r="K23" s="9" t="n">
        <x:v>21</x:v>
      </x:c>
    </x:row>
    <x:row r="24" ht="24" customHeight="1">
      <x:c r="A24" s="1" t="str">
        <x:v>Fax</x:v>
      </x:c>
      <x:c r="B24" s="7" t="n">
        <x:v>12277</x:v>
      </x:c>
      <x:c r="C24" s="7" t="n">
        <x:v>11980</x:v>
      </x:c>
      <x:c r="D24" s="7" t="n">
        <x:v>297</x:v>
      </x:c>
      <x:c r="E24" s="7" t="n">
        <x:v>0</x:v>
      </x:c>
      <x:c r="F24" s="7" t="n">
        <x:v>12277</x:v>
      </x:c>
      <x:c r="G24" s="7" t="n">
        <x:v>0</x:v>
      </x:c>
      <x:c r="H24" s="7" t="n">
        <x:v>0</x:v>
      </x:c>
      <x:c r="I24" s="7" t="n">
        <x:v>1944</x:v>
      </x:c>
      <x:c r="J24" s="9" t="n">
        <x:v>6.536450272867964</x:v>
      </x:c>
      <x:c r="K24" s="9" t="n">
        <x:v>13</x:v>
      </x:c>
    </x:row>
    <x:row r="25" ht="24" customHeight="1">
      <x:c r="A25" s="1" t="str">
        <x:v>Email</x:v>
      </x:c>
      <x:c r="B25" s="7" t="n">
        <x:v>354</x:v>
      </x:c>
      <x:c r="C25" s="7" t="n">
        <x:v>344</x:v>
      </x:c>
      <x:c r="D25" s="7" t="n">
        <x:v>10</x:v>
      </x:c>
      <x:c r="E25" s="7" t="n">
        <x:v>0</x:v>
      </x:c>
      <x:c r="F25" s="7" t="n">
        <x:v>351</x:v>
      </x:c>
      <x:c r="G25" s="7" t="n">
        <x:v>3</x:v>
      </x:c>
      <x:c r="H25" s="7" t="n">
        <x:v>0</x:v>
      </x:c>
      <x:c r="I25" s="7" t="n">
        <x:v>75</x:v>
      </x:c>
      <x:c r="J25" s="9" t="n">
        <x:v>8.162393162393162</x:v>
      </x:c>
      <x:c r="K25" s="9" t="n">
        <x:v>19</x:v>
      </x:c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4" customHeight="1">
      <x:c r="A28" s="10" t="str">
        <x:v>Interpretation and handoff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 t="str">
        <x:v>Negative intervals stay in case counts and leave all duration denominators.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4" customHeight="1">
      <x:c r="A30" s="1" t="str">
        <x:v>Review queue shows 100 longest valid routing delays; the full flagged CSV is generated locally.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4" customHeight="1">
      <x:c r="A31" s="1" t="str">
        <x:v>November 2017 is partial through Nov 15. This historical snapshot is not a live backlog.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5" t="str">
        <x:v>Source: Kaggle sebastienverpile/consumercomplaintsdata (CC0), originally CFPB.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4" customHeight="1">
      <x:c r="A34" s="5" t="str">
        <x:v>Public complaints are not a representative sample. No company quality comparison is made.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</x:sheetData>
  <x:pageMargins left="0.7" right="0.7" top="0.75" bottom="0.75" header="0.3" footer="0.3"/>
  <x:drawing xmlns:r="http://schemas.openxmlformats.org/officeDocument/2006/relationships" r:id="R2878056068f04d1b"/>
  <x:tableParts count="1">
    <x:tablePart xmlns:r="http://schemas.openxmlformats.org/officeDocument/2006/relationships" r:id="R1a2ad410921540b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Monthly intake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3" t="str">
        <x:v>Blue imports; dark formulas. Final month is partial. Timely rate excludes unknown flags.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22" t="str">
        <x:v>Received month</x:v>
      </x:c>
      <x:c r="B5" s="22" t="str">
        <x:v>Cases</x:v>
      </x:c>
      <x:c r="C5" s="22" t="str">
        <x:v>Timely Yes</x:v>
      </x:c>
      <x:c r="D5" s="22" t="str">
        <x:v>Timely No</x:v>
      </x:c>
      <x:c r="E5" s="22" t="str">
        <x:v>Unknown flag</x:v>
      </x:c>
      <x:c r="F5" s="22" t="str">
        <x:v>Timely rate</x:v>
      </x:c>
      <x:c r="G5" s="22" t="str">
        <x:v>Valid intervals</x:v>
      </x:c>
      <x:c r="H5" s="22" t="str">
        <x:v>Routing &gt; days</x:v>
      </x:c>
      <x:c r="I5" s="22" t="str">
        <x:v>Routing review rate</x:v>
      </x:c>
      <x:c r="J5" s="1"/>
      <x:c r="K5" s="1" t="str">
        <x:v>Month · chart inputs</x:v>
      </x:c>
      <x:c r="L5" t="str">
        <x:v>Cases</x:v>
      </x:c>
    </x:row>
    <x:row r="6" ht="24" customHeight="1">
      <x:c r="A6" s="1" t="str">
        <x:v>2011-12</x:v>
      </x:c>
      <x:c r="B6" s="7" t="n">
        <x:v>2536</x:v>
      </x:c>
      <x:c r="C6" s="7" t="n">
        <x:v>2285</x:v>
      </x:c>
      <x:c r="D6" s="7" t="n">
        <x:v>251</x:v>
      </x:c>
      <x:c r="E6" s="7" t="n">
        <x:v>0</x:v>
      </x:c>
      <x:c r="F6" s="8" t="n">
        <x:f>IF(C6+D6=0,"n.a.",C6/(C6+D6))</x:f>
        <x:v>0.9010252365930599</x:v>
      </x:c>
      <x:c r="G6" s="7" t="n">
        <x:v>2520</x:v>
      </x:c>
      <x:c r="H6" s="7" t="n">
        <x:v>207</x:v>
      </x:c>
      <x:c r="I6" s="8" t="n">
        <x:f>IF(G6=0,"n.a.",H6/G6)</x:f>
        <x:v>0.08214285714285714</x:v>
      </x:c>
      <x:c r="J6" s="1"/>
      <x:c r="K6" s="1" t="str">
        <x:f>A66</x:f>
        <x:v>2016-12</x:v>
      </x:c>
      <x:c r="L6" t="n">
        <x:f>B66</x:f>
        <x:v>15342</x:v>
      </x:c>
    </x:row>
    <x:row r="7" ht="24" customHeight="1">
      <x:c r="A7" s="1" t="str">
        <x:v>2012-01</x:v>
      </x:c>
      <x:c r="B7" s="7" t="n">
        <x:v>3230</x:v>
      </x:c>
      <x:c r="C7" s="7" t="n">
        <x:v>3038</x:v>
      </x:c>
      <x:c r="D7" s="7" t="n">
        <x:v>192</x:v>
      </x:c>
      <x:c r="E7" s="7" t="n">
        <x:v>0</x:v>
      </x:c>
      <x:c r="F7" s="8" t="n">
        <x:f>IF(C7+D7=0,"n.a.",C7/(C7+D7))</x:f>
        <x:v>0.9405572755417957</x:v>
      </x:c>
      <x:c r="G7" s="7" t="n">
        <x:v>3229</x:v>
      </x:c>
      <x:c r="H7" s="7" t="n">
        <x:v>541</x:v>
      </x:c>
      <x:c r="I7" s="8" t="n">
        <x:f>IF(G7=0,"n.a.",H7/G7)</x:f>
        <x:v>0.1675441313100031</x:v>
      </x:c>
      <x:c r="J7" s="1"/>
      <x:c r="K7" s="1" t="str">
        <x:f>A67</x:f>
        <x:v>2017-01</x:v>
      </x:c>
      <x:c r="L7" t="n">
        <x:f>B67</x:f>
        <x:v>21011</x:v>
      </x:c>
    </x:row>
    <x:row r="8" ht="24" customHeight="1">
      <x:c r="A8" s="1" t="str">
        <x:v>2012-02</x:v>
      </x:c>
      <x:c r="B8" s="7" t="n">
        <x:v>3509</x:v>
      </x:c>
      <x:c r="C8" s="7" t="n">
        <x:v>3373</x:v>
      </x:c>
      <x:c r="D8" s="7" t="n">
        <x:v>136</x:v>
      </x:c>
      <x:c r="E8" s="7" t="n">
        <x:v>0</x:v>
      </x:c>
      <x:c r="F8" s="8" t="n">
        <x:f>IF(C8+D8=0,"n.a.",C8/(C8+D8))</x:f>
        <x:v>0.9612425192362496</x:v>
      </x:c>
      <x:c r="G8" s="7" t="n">
        <x:v>3509</x:v>
      </x:c>
      <x:c r="H8" s="7" t="n">
        <x:v>548</x:v>
      </x:c>
      <x:c r="I8" s="8" t="n">
        <x:f>IF(G8=0,"n.a.",H8/G8)</x:f>
        <x:v>0.15616984895981761</x:v>
      </x:c>
      <x:c r="J8" s="1"/>
      <x:c r="K8" s="1" t="str">
        <x:f>A68</x:f>
        <x:v>2017-02</x:v>
      </x:c>
      <x:c r="L8" t="n">
        <x:f>B68</x:f>
        <x:v>18120</x:v>
      </x:c>
    </x:row>
    <x:row r="9" ht="24" customHeight="1">
      <x:c r="A9" s="1" t="str">
        <x:v>2012-03</x:v>
      </x:c>
      <x:c r="B9" s="7" t="n">
        <x:v>6230</x:v>
      </x:c>
      <x:c r="C9" s="7" t="n">
        <x:v>6005</x:v>
      </x:c>
      <x:c r="D9" s="7" t="n">
        <x:v>225</x:v>
      </x:c>
      <x:c r="E9" s="7" t="n">
        <x:v>0</x:v>
      </x:c>
      <x:c r="F9" s="8" t="n">
        <x:f>IF(C9+D9=0,"n.a.",C9/(C9+D9))</x:f>
        <x:v>0.963884430176565</x:v>
      </x:c>
      <x:c r="G9" s="7" t="n">
        <x:v>6223</x:v>
      </x:c>
      <x:c r="H9" s="7" t="n">
        <x:v>887</x:v>
      </x:c>
      <x:c r="I9" s="8" t="n">
        <x:f>IF(G9=0,"n.a.",H9/G9)</x:f>
        <x:v>0.14253575445926403</x:v>
      </x:c>
      <x:c r="J9" s="1"/>
      <x:c r="K9" s="1" t="str">
        <x:f>A69</x:f>
        <x:v>2017-03</x:v>
      </x:c>
      <x:c r="L9" t="n">
        <x:f>B69</x:f>
        <x:v>19768</x:v>
      </x:c>
    </x:row>
    <x:row r="10" ht="24" customHeight="1">
      <x:c r="A10" s="1" t="str">
        <x:v>2012-04</x:v>
      </x:c>
      <x:c r="B10" s="7" t="n">
        <x:v>5703</x:v>
      </x:c>
      <x:c r="C10" s="7" t="n">
        <x:v>5466</x:v>
      </x:c>
      <x:c r="D10" s="7" t="n">
        <x:v>237</x:v>
      </x:c>
      <x:c r="E10" s="7" t="n">
        <x:v>0</x:v>
      </x:c>
      <x:c r="F10" s="8" t="n">
        <x:f>IF(C10+D10=0,"n.a.",C10/(C10+D10))</x:f>
        <x:v>0.9584429247764334</x:v>
      </x:c>
      <x:c r="G10" s="7" t="n">
        <x:v>5701</x:v>
      </x:c>
      <x:c r="H10" s="7" t="n">
        <x:v>550</x:v>
      </x:c>
      <x:c r="I10" s="8" t="n">
        <x:f>IF(G10=0,"n.a.",H10/G10)</x:f>
        <x:v>0.09647430275390283</x:v>
      </x:c>
      <x:c r="J10" s="1"/>
      <x:c r="K10" s="1" t="str">
        <x:f>A70</x:f>
        <x:v>2017-04</x:v>
      </x:c>
      <x:c r="L10" t="n">
        <x:f>B70</x:f>
        <x:v>18524</x:v>
      </x:c>
    </x:row>
    <x:row r="11" ht="24" customHeight="1">
      <x:c r="A11" s="1" t="str">
        <x:v>2012-05</x:v>
      </x:c>
      <x:c r="B11" s="7" t="n">
        <x:v>7617</x:v>
      </x:c>
      <x:c r="C11" s="7" t="n">
        <x:v>7216</x:v>
      </x:c>
      <x:c r="D11" s="7" t="n">
        <x:v>401</x:v>
      </x:c>
      <x:c r="E11" s="7" t="n">
        <x:v>0</x:v>
      </x:c>
      <x:c r="F11" s="8" t="n">
        <x:f>IF(C11+D11=0,"n.a.",C11/(C11+D11))</x:f>
        <x:v>0.9473546015491663</x:v>
      </x:c>
      <x:c r="G11" s="7" t="n">
        <x:v>7616</x:v>
      </x:c>
      <x:c r="H11" s="7" t="n">
        <x:v>1733</x:v>
      </x:c>
      <x:c r="I11" s="8" t="n">
        <x:f>IF(G11=0,"n.a.",H11/G11)</x:f>
        <x:v>0.22754726890756302</x:v>
      </x:c>
      <x:c r="J11" s="1"/>
      <x:c r="K11" s="1" t="str">
        <x:f>A71</x:f>
        <x:v>2017-05</x:v>
      </x:c>
      <x:c r="L11" t="n">
        <x:f>B71</x:f>
        <x:v>19285</x:v>
      </x:c>
    </x:row>
    <x:row r="12" ht="24" customHeight="1">
      <x:c r="A12" s="1" t="str">
        <x:v>2012-06</x:v>
      </x:c>
      <x:c r="B12" s="7" t="n">
        <x:v>7841</x:v>
      </x:c>
      <x:c r="C12" s="7" t="n">
        <x:v>7485</x:v>
      </x:c>
      <x:c r="D12" s="7" t="n">
        <x:v>356</x:v>
      </x:c>
      <x:c r="E12" s="7" t="n">
        <x:v>0</x:v>
      </x:c>
      <x:c r="F12" s="8" t="n">
        <x:f>IF(C12+D12=0,"n.a.",C12/(C12+D12))</x:f>
        <x:v>0.9545976278535901</x:v>
      </x:c>
      <x:c r="G12" s="7" t="n">
        <x:v>7837</x:v>
      </x:c>
      <x:c r="H12" s="7" t="n">
        <x:v>1425</x:v>
      </x:c>
      <x:c r="I12" s="8" t="n">
        <x:f>IF(G12=0,"n.a.",H12/G12)</x:f>
        <x:v>0.18182978180426185</x:v>
      </x:c>
      <x:c r="J12" s="1"/>
      <x:c r="K12" s="1" t="str">
        <x:f>A72</x:f>
        <x:v>2017-06</x:v>
      </x:c>
      <x:c r="L12" t="n">
        <x:f>B72</x:f>
        <x:v>18544</x:v>
      </x:c>
    </x:row>
    <x:row r="13" ht="24" customHeight="1">
      <x:c r="A13" s="1" t="str">
        <x:v>2012-07</x:v>
      </x:c>
      <x:c r="B13" s="7" t="n">
        <x:v>6755</x:v>
      </x:c>
      <x:c r="C13" s="7" t="n">
        <x:v>6522</x:v>
      </x:c>
      <x:c r="D13" s="7" t="n">
        <x:v>233</x:v>
      </x:c>
      <x:c r="E13" s="7" t="n">
        <x:v>0</x:v>
      </x:c>
      <x:c r="F13" s="8" t="n">
        <x:f>IF(C13+D13=0,"n.a.",C13/(C13+D13))</x:f>
        <x:v>0.9655070318282754</x:v>
      </x:c>
      <x:c r="G13" s="7" t="n">
        <x:v>6751</x:v>
      </x:c>
      <x:c r="H13" s="7" t="n">
        <x:v>984</x:v>
      </x:c>
      <x:c r="I13" s="8" t="n">
        <x:f>IF(G13=0,"n.a.",H13/G13)</x:f>
        <x:v>0.1457561842689972</x:v>
      </x:c>
      <x:c r="J13" s="1"/>
      <x:c r="K13" s="1" t="str">
        <x:f>A73</x:f>
        <x:v>2017-07</x:v>
      </x:c>
      <x:c r="L13" t="n">
        <x:f>B73</x:f>
        <x:v>20403</x:v>
      </x:c>
    </x:row>
    <x:row r="14" ht="24" customHeight="1">
      <x:c r="A14" s="1" t="str">
        <x:v>2012-08</x:v>
      </x:c>
      <x:c r="B14" s="7" t="n">
        <x:v>6877</x:v>
      </x:c>
      <x:c r="C14" s="7" t="n">
        <x:v>6667</x:v>
      </x:c>
      <x:c r="D14" s="7" t="n">
        <x:v>210</x:v>
      </x:c>
      <x:c r="E14" s="7" t="n">
        <x:v>0</x:v>
      </x:c>
      <x:c r="F14" s="8" t="n">
        <x:f>IF(C14+D14=0,"n.a.",C14/(C14+D14))</x:f>
        <x:v>0.9694634288207067</x:v>
      </x:c>
      <x:c r="G14" s="7" t="n">
        <x:v>6873</x:v>
      </x:c>
      <x:c r="H14" s="7" t="n">
        <x:v>689</x:v>
      </x:c>
      <x:c r="I14" s="8" t="n">
        <x:f>IF(G14=0,"n.a.",H14/G14)</x:f>
        <x:v>0.10024734468208933</x:v>
      </x:c>
      <x:c r="J14" s="1"/>
      <x:c r="K14" s="1" t="str">
        <x:f>A74</x:f>
        <x:v>2017-08</x:v>
      </x:c>
      <x:c r="L14" t="n">
        <x:f>B74</x:f>
        <x:v>21362</x:v>
      </x:c>
    </x:row>
    <x:row r="15" ht="24" customHeight="1">
      <x:c r="A15" s="1" t="str">
        <x:v>2012-09</x:v>
      </x:c>
      <x:c r="B15" s="7" t="n">
        <x:v>5493</x:v>
      </x:c>
      <x:c r="C15" s="7" t="n">
        <x:v>5347</x:v>
      </x:c>
      <x:c r="D15" s="7" t="n">
        <x:v>146</x:v>
      </x:c>
      <x:c r="E15" s="7" t="n">
        <x:v>0</x:v>
      </x:c>
      <x:c r="F15" s="8" t="n">
        <x:f>IF(C15+D15=0,"n.a.",C15/(C15+D15))</x:f>
        <x:v>0.9734207172765338</x:v>
      </x:c>
      <x:c r="G15" s="7" t="n">
        <x:v>5493</x:v>
      </x:c>
      <x:c r="H15" s="7" t="n">
        <x:v>199</x:v>
      </x:c>
      <x:c r="I15" s="8" t="n">
        <x:f>IF(G15=0,"n.a.",H15/G15)</x:f>
        <x:v>0.03622792645184781</x:v>
      </x:c>
      <x:c r="J15" s="1"/>
      <x:c r="K15" s="1" t="str">
        <x:f>A75</x:f>
        <x:v>2017-09</x:v>
      </x:c>
      <x:c r="L15" t="n">
        <x:f>B75</x:f>
        <x:v>27389</x:v>
      </x:c>
    </x:row>
    <x:row r="16" ht="24" customHeight="1">
      <x:c r="A16" s="1" t="str">
        <x:v>2012-10</x:v>
      </x:c>
      <x:c r="B16" s="7" t="n">
        <x:v>6741</x:v>
      </x:c>
      <x:c r="C16" s="7" t="n">
        <x:v>6591</x:v>
      </x:c>
      <x:c r="D16" s="7" t="n">
        <x:v>150</x:v>
      </x:c>
      <x:c r="E16" s="7" t="n">
        <x:v>0</x:v>
      </x:c>
      <x:c r="F16" s="8" t="n">
        <x:f>IF(C16+D16=0,"n.a.",C16/(C16+D16))</x:f>
        <x:v>0.9777481085892301</x:v>
      </x:c>
      <x:c r="G16" s="7" t="n">
        <x:v>6715</x:v>
      </x:c>
      <x:c r="H16" s="7" t="n">
        <x:v>221</x:v>
      </x:c>
      <x:c r="I16" s="8" t="n">
        <x:f>IF(G16=0,"n.a.",H16/G16)</x:f>
        <x:v>0.03291139240506329</x:v>
      </x:c>
      <x:c r="J16" s="1"/>
      <x:c r="K16" s="1" t="str">
        <x:f>A76</x:f>
        <x:v>2017-10</x:v>
      </x:c>
      <x:c r="L16" t="n">
        <x:f>B76</x:f>
        <x:v>20531</x:v>
      </x:c>
    </x:row>
    <x:row r="17" ht="24" customHeight="1">
      <x:c r="A17" s="1" t="str">
        <x:v>2012-11</x:v>
      </x:c>
      <x:c r="B17" s="7" t="n">
        <x:v>6139</x:v>
      </x:c>
      <x:c r="C17" s="7" t="n">
        <x:v>6034</x:v>
      </x:c>
      <x:c r="D17" s="7" t="n">
        <x:v>105</x:v>
      </x:c>
      <x:c r="E17" s="7" t="n">
        <x:v>0</x:v>
      </x:c>
      <x:c r="F17" s="8" t="n">
        <x:f>IF(C17+D17=0,"n.a.",C17/(C17+D17))</x:f>
        <x:v>0.9828962371721779</x:v>
      </x:c>
      <x:c r="G17" s="7" t="n">
        <x:v>6091</x:v>
      </x:c>
      <x:c r="H17" s="7" t="n">
        <x:v>415</x:v>
      </x:c>
      <x:c r="I17" s="8" t="n">
        <x:f>IF(G17=0,"n.a.",H17/G17)</x:f>
        <x:v>0.06813331144311278</x:v>
      </x:c>
      <x:c r="J17" s="1"/>
      <x:c r="K17" s="1" t="str">
        <x:f>A77</x:f>
        <x:v>2017-11 partial</x:v>
      </x:c>
      <x:c r="L17" t="n">
        <x:f>B77</x:f>
        <x:v>2841</x:v>
      </x:c>
    </x:row>
    <x:row r="18" ht="24" customHeight="1">
      <x:c r="A18" s="1" t="str">
        <x:v>2012-12</x:v>
      </x:c>
      <x:c r="B18" s="7" t="n">
        <x:v>6238</x:v>
      </x:c>
      <x:c r="C18" s="7" t="n">
        <x:v>6121</x:v>
      </x:c>
      <x:c r="D18" s="7" t="n">
        <x:v>117</x:v>
      </x:c>
      <x:c r="E18" s="7" t="n">
        <x:v>0</x:v>
      </x:c>
      <x:c r="F18" s="8" t="n">
        <x:f>IF(C18+D18=0,"n.a.",C18/(C18+D18))</x:f>
        <x:v>0.981243988457839</x:v>
      </x:c>
      <x:c r="G18" s="7" t="n">
        <x:v>6132</x:v>
      </x:c>
      <x:c r="H18" s="7" t="n">
        <x:v>484</x:v>
      </x:c>
      <x:c r="I18" s="8" t="n">
        <x:f>IF(G18=0,"n.a.",H18/G18)</x:f>
        <x:v>0.07893020221787345</x:v>
      </x:c>
      <x:c r="J18" s="1"/>
      <x:c r="K18" s="1"/>
    </x:row>
    <x:row r="19" ht="24" customHeight="1">
      <x:c r="A19" s="1" t="str">
        <x:v>2013-01</x:v>
      </x:c>
      <x:c r="B19" s="7" t="n">
        <x:v>9741</x:v>
      </x:c>
      <x:c r="C19" s="7" t="n">
        <x:v>9645</x:v>
      </x:c>
      <x:c r="D19" s="7" t="n">
        <x:v>96</x:v>
      </x:c>
      <x:c r="E19" s="7" t="n">
        <x:v>0</x:v>
      </x:c>
      <x:c r="F19" s="8" t="n">
        <x:f>IF(C19+D19=0,"n.a.",C19/(C19+D19))</x:f>
        <x:v>0.9901447489990761</x:v>
      </x:c>
      <x:c r="G19" s="7" t="n">
        <x:v>9614</x:v>
      </x:c>
      <x:c r="H19" s="7" t="n">
        <x:v>1230</x:v>
      </x:c>
      <x:c r="I19" s="8" t="n">
        <x:f>IF(G19=0,"n.a.",H19/G19)</x:f>
        <x:v>0.12793842313293113</x:v>
      </x:c>
      <x:c r="J19" s="1"/>
      <x:c r="K19" s="1"/>
    </x:row>
    <x:row r="20" ht="24" customHeight="1">
      <x:c r="A20" s="1" t="str">
        <x:v>2013-02</x:v>
      </x:c>
      <x:c r="B20" s="7" t="n">
        <x:v>8349</x:v>
      </x:c>
      <x:c r="C20" s="7" t="n">
        <x:v>8278</x:v>
      </x:c>
      <x:c r="D20" s="7" t="n">
        <x:v>71</x:v>
      </x:c>
      <x:c r="E20" s="7" t="n">
        <x:v>0</x:v>
      </x:c>
      <x:c r="F20" s="8" t="n">
        <x:f>IF(C20+D20=0,"n.a.",C20/(C20+D20))</x:f>
        <x:v>0.9914959875434184</x:v>
      </x:c>
      <x:c r="G20" s="7" t="n">
        <x:v>8206</x:v>
      </x:c>
      <x:c r="H20" s="7" t="n">
        <x:v>1241</x:v>
      </x:c>
      <x:c r="I20" s="8" t="n">
        <x:f>IF(G20=0,"n.a.",H20/G20)</x:f>
        <x:v>0.15123080672678527</x:v>
      </x:c>
      <x:c r="J20" s="1"/>
      <x:c r="K20" s="1"/>
    </x:row>
    <x:row r="21" ht="24" customHeight="1">
      <x:c r="A21" s="1" t="str">
        <x:v>2013-03</x:v>
      </x:c>
      <x:c r="B21" s="7" t="n">
        <x:v>8784</x:v>
      </x:c>
      <x:c r="C21" s="7" t="n">
        <x:v>8724</x:v>
      </x:c>
      <x:c r="D21" s="7" t="n">
        <x:v>60</x:v>
      </x:c>
      <x:c r="E21" s="7" t="n">
        <x:v>0</x:v>
      </x:c>
      <x:c r="F21" s="8" t="n">
        <x:f>IF(C21+D21=0,"n.a.",C21/(C21+D21))</x:f>
        <x:v>0.9931693989071039</x:v>
      </x:c>
      <x:c r="G21" s="7" t="n">
        <x:v>8687</x:v>
      </x:c>
      <x:c r="H21" s="7" t="n">
        <x:v>623</x:v>
      </x:c>
      <x:c r="I21" s="8" t="n">
        <x:f>IF(G21=0,"n.a.",H21/G21)</x:f>
        <x:v>0.0717163577759871</x:v>
      </x:c>
      <x:c r="J21" s="1"/>
      <x:c r="K21" s="1"/>
    </x:row>
    <x:row r="22" ht="24" customHeight="1">
      <x:c r="A22" s="1" t="str">
        <x:v>2013-04</x:v>
      </x:c>
      <x:c r="B22" s="7" t="n">
        <x:v>8633</x:v>
      </x:c>
      <x:c r="C22" s="7" t="n">
        <x:v>8568</x:v>
      </x:c>
      <x:c r="D22" s="7" t="n">
        <x:v>65</x:v>
      </x:c>
      <x:c r="E22" s="7" t="n">
        <x:v>0</x:v>
      </x:c>
      <x:c r="F22" s="8" t="n">
        <x:f>IF(C22+D22=0,"n.a.",C22/(C22+D22))</x:f>
        <x:v>0.9924707517664775</x:v>
      </x:c>
      <x:c r="G22" s="7" t="n">
        <x:v>8544</x:v>
      </x:c>
      <x:c r="H22" s="7" t="n">
        <x:v>523</x:v>
      </x:c>
      <x:c r="I22" s="8" t="n">
        <x:f>IF(G22=0,"n.a.",H22/G22)</x:f>
        <x:v>0.0612125468164794</x:v>
      </x:c>
      <x:c r="J22" s="1"/>
      <x:c r="K22" s="1"/>
    </x:row>
    <x:row r="23" ht="24" customHeight="1">
      <x:c r="A23" s="1" t="str">
        <x:v>2013-05</x:v>
      </x:c>
      <x:c r="B23" s="7" t="n">
        <x:v>8170</x:v>
      </x:c>
      <x:c r="C23" s="7" t="n">
        <x:v>8114</x:v>
      </x:c>
      <x:c r="D23" s="7" t="n">
        <x:v>56</x:v>
      </x:c>
      <x:c r="E23" s="7" t="n">
        <x:v>0</x:v>
      </x:c>
      <x:c r="F23" s="8" t="n">
        <x:f>IF(C23+D23=0,"n.a.",C23/(C23+D23))</x:f>
        <x:v>0.9931456548347614</x:v>
      </x:c>
      <x:c r="G23" s="7" t="n">
        <x:v>8066</x:v>
      </x:c>
      <x:c r="H23" s="7" t="n">
        <x:v>585</x:v>
      </x:c>
      <x:c r="I23" s="8" t="n">
        <x:f>IF(G23=0,"n.a.",H23/G23)</x:f>
        <x:v>0.07252665509546244</x:v>
      </x:c>
      <x:c r="J23" s="1"/>
      <x:c r="K23" s="1"/>
    </x:row>
    <x:row r="24" ht="24" customHeight="1">
      <x:c r="A24" s="1" t="str">
        <x:v>2013-06</x:v>
      </x:c>
      <x:c r="B24" s="7" t="n">
        <x:v>8035</x:v>
      </x:c>
      <x:c r="C24" s="7" t="n">
        <x:v>7985</x:v>
      </x:c>
      <x:c r="D24" s="7" t="n">
        <x:v>50</x:v>
      </x:c>
      <x:c r="E24" s="7" t="n">
        <x:v>0</x:v>
      </x:c>
      <x:c r="F24" s="8" t="n">
        <x:f>IF(C24+D24=0,"n.a.",C24/(C24+D24))</x:f>
        <x:v>0.9937772246421904</x:v>
      </x:c>
      <x:c r="G24" s="7" t="n">
        <x:v>7952</x:v>
      </x:c>
      <x:c r="H24" s="7" t="n">
        <x:v>566</x:v>
      </x:c>
      <x:c r="I24" s="8" t="n">
        <x:f>IF(G24=0,"n.a.",H24/G24)</x:f>
        <x:v>0.07117706237424547</x:v>
      </x:c>
      <x:c r="J24" s="1"/>
      <x:c r="K24" s="1"/>
    </x:row>
    <x:row r="25" ht="24" customHeight="1">
      <x:c r="A25" s="1" t="str">
        <x:v>2013-07</x:v>
      </x:c>
      <x:c r="B25" s="7" t="n">
        <x:v>9271</x:v>
      </x:c>
      <x:c r="C25" s="7" t="n">
        <x:v>9150</x:v>
      </x:c>
      <x:c r="D25" s="7" t="n">
        <x:v>121</x:v>
      </x:c>
      <x:c r="E25" s="7" t="n">
        <x:v>0</x:v>
      </x:c>
      <x:c r="F25" s="8" t="n">
        <x:f>IF(C25+D25=0,"n.a.",C25/(C25+D25))</x:f>
        <x:v>0.9869485492395642</x:v>
      </x:c>
      <x:c r="G25" s="7" t="n">
        <x:v>9081</x:v>
      </x:c>
      <x:c r="H25" s="7" t="n">
        <x:v>1030</x:v>
      </x:c>
      <x:c r="I25" s="8" t="n">
        <x:f>IF(G25=0,"n.a.",H25/G25)</x:f>
        <x:v>0.11342363175861689</x:v>
      </x:c>
      <x:c r="J25" s="1"/>
      <x:c r="K25" s="1"/>
    </x:row>
    <x:row r="26" ht="24" customHeight="1">
      <x:c r="A26" s="1" t="str">
        <x:v>2013-08</x:v>
      </x:c>
      <x:c r="B26" s="7" t="n">
        <x:v>9565</x:v>
      </x:c>
      <x:c r="C26" s="7" t="n">
        <x:v>9452</x:v>
      </x:c>
      <x:c r="D26" s="7" t="n">
        <x:v>113</x:v>
      </x:c>
      <x:c r="E26" s="7" t="n">
        <x:v>0</x:v>
      </x:c>
      <x:c r="F26" s="8" t="n">
        <x:f>IF(C26+D26=0,"n.a.",C26/(C26+D26))</x:f>
        <x:v>0.9881860951385258</x:v>
      </x:c>
      <x:c r="G26" s="7" t="n">
        <x:v>9330</x:v>
      </x:c>
      <x:c r="H26" s="7" t="n">
        <x:v>1054</x:v>
      </x:c>
      <x:c r="I26" s="8" t="n">
        <x:f>IF(G26=0,"n.a.",H26/G26)</x:f>
        <x:v>0.11296891747052519</x:v>
      </x:c>
      <x:c r="J26" s="1"/>
      <x:c r="K26" s="1"/>
    </x:row>
    <x:row r="27" ht="24" customHeight="1">
      <x:c r="A27" s="1" t="str">
        <x:v>2013-09</x:v>
      </x:c>
      <x:c r="B27" s="7" t="n">
        <x:v>9636</x:v>
      </x:c>
      <x:c r="C27" s="7" t="n">
        <x:v>9485</x:v>
      </x:c>
      <x:c r="D27" s="7" t="n">
        <x:v>151</x:v>
      </x:c>
      <x:c r="E27" s="7" t="n">
        <x:v>0</x:v>
      </x:c>
      <x:c r="F27" s="8" t="n">
        <x:f>IF(C27+D27=0,"n.a.",C27/(C27+D27))</x:f>
        <x:v>0.984329597343296</x:v>
      </x:c>
      <x:c r="G27" s="7" t="n">
        <x:v>9457</x:v>
      </x:c>
      <x:c r="H27" s="7" t="n">
        <x:v>1029</x:v>
      </x:c>
      <x:c r="I27" s="8" t="n">
        <x:f>IF(G27=0,"n.a.",H27/G27)</x:f>
        <x:v>0.10880829015544041</x:v>
      </x:c>
      <x:c r="J27" s="1"/>
      <x:c r="K27" s="1"/>
    </x:row>
    <x:row r="28" ht="24" customHeight="1">
      <x:c r="A28" s="1" t="str">
        <x:v>2013-10</x:v>
      </x:c>
      <x:c r="B28" s="7" t="n">
        <x:v>9241</x:v>
      </x:c>
      <x:c r="C28" s="7" t="n">
        <x:v>9120</x:v>
      </x:c>
      <x:c r="D28" s="7" t="n">
        <x:v>121</x:v>
      </x:c>
      <x:c r="E28" s="7" t="n">
        <x:v>0</x:v>
      </x:c>
      <x:c r="F28" s="8" t="n">
        <x:f>IF(C28+D28=0,"n.a.",C28/(C28+D28))</x:f>
        <x:v>0.9869061789849584</x:v>
      </x:c>
      <x:c r="G28" s="7" t="n">
        <x:v>8908</x:v>
      </x:c>
      <x:c r="H28" s="7" t="n">
        <x:v>915</x:v>
      </x:c>
      <x:c r="I28" s="8" t="n">
        <x:f>IF(G28=0,"n.a.",H28/G28)</x:f>
        <x:v>0.10271665918275708</x:v>
      </x:c>
      <x:c r="J28" s="1"/>
      <x:c r="K28" s="1"/>
    </x:row>
    <x:row r="29" ht="24" customHeight="1">
      <x:c r="A29" s="1" t="str">
        <x:v>2013-11</x:v>
      </x:c>
      <x:c r="B29" s="7" t="n">
        <x:v>9319</x:v>
      </x:c>
      <x:c r="C29" s="7" t="n">
        <x:v>9150</x:v>
      </x:c>
      <x:c r="D29" s="7" t="n">
        <x:v>169</x:v>
      </x:c>
      <x:c r="E29" s="7" t="n">
        <x:v>0</x:v>
      </x:c>
      <x:c r="F29" s="8" t="n">
        <x:f>IF(C29+D29=0,"n.a.",C29/(C29+D29))</x:f>
        <x:v>0.9818650069749973</x:v>
      </x:c>
      <x:c r="G29" s="7" t="n">
        <x:v>8710</x:v>
      </x:c>
      <x:c r="H29" s="7" t="n">
        <x:v>1627</x:v>
      </x:c>
      <x:c r="I29" s="8" t="n">
        <x:f>IF(G29=0,"n.a.",H29/G29)</x:f>
        <x:v>0.18679678530424798</x:v>
      </x:c>
      <x:c r="J29" s="1"/>
      <x:c r="K29" s="1"/>
    </x:row>
    <x:row r="30" ht="24" customHeight="1">
      <x:c r="A30" s="1" t="str">
        <x:v>2013-12</x:v>
      </x:c>
      <x:c r="B30" s="7" t="n">
        <x:v>9474</x:v>
      </x:c>
      <x:c r="C30" s="7" t="n">
        <x:v>9277</x:v>
      </x:c>
      <x:c r="D30" s="7" t="n">
        <x:v>197</x:v>
      </x:c>
      <x:c r="E30" s="7" t="n">
        <x:v>0</x:v>
      </x:c>
      <x:c r="F30" s="8" t="n">
        <x:f>IF(C30+D30=0,"n.a.",C30/(C30+D30))</x:f>
        <x:v>0.9792062486805996</x:v>
      </x:c>
      <x:c r="G30" s="7" t="n">
        <x:v>8736</x:v>
      </x:c>
      <x:c r="H30" s="7" t="n">
        <x:v>2027</x:v>
      </x:c>
      <x:c r="I30" s="8" t="n">
        <x:f>IF(G30=0,"n.a.",H30/G30)</x:f>
        <x:v>0.2320283882783883</x:v>
      </x:c>
      <x:c r="J30" s="1"/>
      <x:c r="K30" s="1"/>
    </x:row>
    <x:row r="31" ht="24" customHeight="1">
      <x:c r="A31" s="1" t="str">
        <x:v>2014-01</x:v>
      </x:c>
      <x:c r="B31" s="7" t="n">
        <x:v>12619</x:v>
      </x:c>
      <x:c r="C31" s="7" t="n">
        <x:v>12378</x:v>
      </x:c>
      <x:c r="D31" s="7" t="n">
        <x:v>241</x:v>
      </x:c>
      <x:c r="E31" s="7" t="n">
        <x:v>0</x:v>
      </x:c>
      <x:c r="F31" s="8" t="n">
        <x:f>IF(C31+D31=0,"n.a.",C31/(C31+D31))</x:f>
        <x:v>0.9809018147238292</x:v>
      </x:c>
      <x:c r="G31" s="7" t="n">
        <x:v>11602</x:v>
      </x:c>
      <x:c r="H31" s="7" t="n">
        <x:v>2869</x:v>
      </x:c>
      <x:c r="I31" s="8" t="n">
        <x:f>IF(G31=0,"n.a.",H31/G31)</x:f>
        <x:v>0.24728495087053956</x:v>
      </x:c>
      <x:c r="J31" s="1"/>
      <x:c r="K31" s="1"/>
    </x:row>
    <x:row r="32" ht="24" customHeight="1">
      <x:c r="A32" s="1" t="str">
        <x:v>2014-02</x:v>
      </x:c>
      <x:c r="B32" s="7" t="n">
        <x:v>13048</x:v>
      </x:c>
      <x:c r="C32" s="7" t="n">
        <x:v>12822</x:v>
      </x:c>
      <x:c r="D32" s="7" t="n">
        <x:v>226</x:v>
      </x:c>
      <x:c r="E32" s="7" t="n">
        <x:v>0</x:v>
      </x:c>
      <x:c r="F32" s="8" t="n">
        <x:f>IF(C32+D32=0,"n.a.",C32/(C32+D32))</x:f>
        <x:v>0.9826793378295524</x:v>
      </x:c>
      <x:c r="G32" s="7" t="n">
        <x:v>11886</x:v>
      </x:c>
      <x:c r="H32" s="7" t="n">
        <x:v>1586</x:v>
      </x:c>
      <x:c r="I32" s="8" t="n">
        <x:f>IF(G32=0,"n.a.",H32/G32)</x:f>
        <x:v>0.13343429244489316</x:v>
      </x:c>
      <x:c r="J32" s="1"/>
      <x:c r="K32" s="1"/>
    </x:row>
    <x:row r="33" ht="24" customHeight="1">
      <x:c r="A33" s="1" t="str">
        <x:v>2014-03</x:v>
      </x:c>
      <x:c r="B33" s="7" t="n">
        <x:v>13943</x:v>
      </x:c>
      <x:c r="C33" s="7" t="n">
        <x:v>13725</x:v>
      </x:c>
      <x:c r="D33" s="7" t="n">
        <x:v>218</x:v>
      </x:c>
      <x:c r="E33" s="7" t="n">
        <x:v>0</x:v>
      </x:c>
      <x:c r="F33" s="8" t="n">
        <x:f>IF(C33+D33=0,"n.a.",C33/(C33+D33))</x:f>
        <x:v>0.9843649142939109</x:v>
      </x:c>
      <x:c r="G33" s="7" t="n">
        <x:v>13021</x:v>
      </x:c>
      <x:c r="H33" s="7" t="n">
        <x:v>1411</x:v>
      </x:c>
      <x:c r="I33" s="8" t="n">
        <x:f>IF(G33=0,"n.a.",H33/G33)</x:f>
        <x:v>0.10836341294831427</x:v>
      </x:c>
      <x:c r="J33" s="1"/>
      <x:c r="K33" s="1"/>
    </x:row>
    <x:row r="34" ht="24" customHeight="1">
      <x:c r="A34" s="1" t="str">
        <x:v>2014-04</x:v>
      </x:c>
      <x:c r="B34" s="7" t="n">
        <x:v>13840</x:v>
      </x:c>
      <x:c r="C34" s="7" t="n">
        <x:v>13531</x:v>
      </x:c>
      <x:c r="D34" s="7" t="n">
        <x:v>309</x:v>
      </x:c>
      <x:c r="E34" s="7" t="n">
        <x:v>0</x:v>
      </x:c>
      <x:c r="F34" s="8" t="n">
        <x:f>IF(C34+D34=0,"n.a.",C34/(C34+D34))</x:f>
        <x:v>0.9776734104046243</x:v>
      </x:c>
      <x:c r="G34" s="7" t="n">
        <x:v>13035</x:v>
      </x:c>
      <x:c r="H34" s="7" t="n">
        <x:v>1569</x:v>
      </x:c>
      <x:c r="I34" s="8" t="n">
        <x:f>IF(G34=0,"n.a.",H34/G34)</x:f>
        <x:v>0.12036823935558112</x:v>
      </x:c>
      <x:c r="J34" s="1"/>
      <x:c r="K34" s="1"/>
    </x:row>
    <x:row r="35" ht="24" customHeight="1">
      <x:c r="A35" s="1" t="str">
        <x:v>2014-05</x:v>
      </x:c>
      <x:c r="B35" s="7" t="n">
        <x:v>12169</x:v>
      </x:c>
      <x:c r="C35" s="7" t="n">
        <x:v>11917</x:v>
      </x:c>
      <x:c r="D35" s="7" t="n">
        <x:v>252</x:v>
      </x:c>
      <x:c r="E35" s="7" t="n">
        <x:v>0</x:v>
      </x:c>
      <x:c r="F35" s="8" t="n">
        <x:f>IF(C35+D35=0,"n.a.",C35/(C35+D35))</x:f>
        <x:v>0.9792916426986605</x:v>
      </x:c>
      <x:c r="G35" s="7" t="n">
        <x:v>12169</x:v>
      </x:c>
      <x:c r="H35" s="7" t="n">
        <x:v>1189</x:v>
      </x:c>
      <x:c r="I35" s="8" t="n">
        <x:f>IF(G35=0,"n.a.",H35/G35)</x:f>
        <x:v>0.09770728901306598</x:v>
      </x:c>
      <x:c r="J35" s="1"/>
      <x:c r="K35" s="1"/>
    </x:row>
    <x:row r="36" ht="24" customHeight="1">
      <x:c r="A36" s="1" t="str">
        <x:v>2014-06</x:v>
      </x:c>
      <x:c r="B36" s="7" t="n">
        <x:v>12520</x:v>
      </x:c>
      <x:c r="C36" s="7" t="n">
        <x:v>12253</x:v>
      </x:c>
      <x:c r="D36" s="7" t="n">
        <x:v>267</x:v>
      </x:c>
      <x:c r="E36" s="7" t="n">
        <x:v>0</x:v>
      </x:c>
      <x:c r="F36" s="8" t="n">
        <x:f>IF(C36+D36=0,"n.a.",C36/(C36+D36))</x:f>
        <x:v>0.9786741214057508</x:v>
      </x:c>
      <x:c r="G36" s="7" t="n">
        <x:v>12520</x:v>
      </x:c>
      <x:c r="H36" s="7" t="n">
        <x:v>1153</x:v>
      </x:c>
      <x:c r="I36" s="8" t="n">
        <x:f>IF(G36=0,"n.a.",H36/G36)</x:f>
        <x:v>0.0920926517571885</x:v>
      </x:c>
      <x:c r="J36" s="1"/>
      <x:c r="K36" s="1"/>
    </x:row>
    <x:row r="37" ht="24" customHeight="1">
      <x:c r="A37" s="1" t="str">
        <x:v>2014-07</x:v>
      </x:c>
      <x:c r="B37" s="7" t="n">
        <x:v>13417</x:v>
      </x:c>
      <x:c r="C37" s="7" t="n">
        <x:v>13126</x:v>
      </x:c>
      <x:c r="D37" s="7" t="n">
        <x:v>291</x:v>
      </x:c>
      <x:c r="E37" s="7" t="n">
        <x:v>0</x:v>
      </x:c>
      <x:c r="F37" s="8" t="n">
        <x:f>IF(C37+D37=0,"n.a.",C37/(C37+D37))</x:f>
        <x:v>0.9783110978609227</x:v>
      </x:c>
      <x:c r="G37" s="7" t="n">
        <x:v>13417</x:v>
      </x:c>
      <x:c r="H37" s="7" t="n">
        <x:v>1390</x:v>
      </x:c>
      <x:c r="I37" s="8" t="n">
        <x:f>IF(G37=0,"n.a.",H37/G37)</x:f>
        <x:v>0.10359991056122829</x:v>
      </x:c>
      <x:c r="J37" s="1"/>
      <x:c r="K37" s="1"/>
    </x:row>
    <x:row r="38" ht="24" customHeight="1">
      <x:c r="A38" s="1" t="str">
        <x:v>2014-08</x:v>
      </x:c>
      <x:c r="B38" s="7" t="n">
        <x:v>13188</x:v>
      </x:c>
      <x:c r="C38" s="7" t="n">
        <x:v>12839</x:v>
      </x:c>
      <x:c r="D38" s="7" t="n">
        <x:v>349</x:v>
      </x:c>
      <x:c r="E38" s="7" t="n">
        <x:v>0</x:v>
      </x:c>
      <x:c r="F38" s="8" t="n">
        <x:f>IF(C38+D38=0,"n.a.",C38/(C38+D38))</x:f>
        <x:v>0.9735365483773127</x:v>
      </x:c>
      <x:c r="G38" s="7" t="n">
        <x:v>13188</x:v>
      </x:c>
      <x:c r="H38" s="7" t="n">
        <x:v>1430</x:v>
      </x:c>
      <x:c r="I38" s="8" t="n">
        <x:f>IF(G38=0,"n.a.",H38/G38)</x:f>
        <x:v>0.10843190779496512</x:v>
      </x:c>
      <x:c r="J38" s="1"/>
      <x:c r="K38" s="1"/>
    </x:row>
    <x:row r="39" ht="24" customHeight="1">
      <x:c r="A39" s="1" t="str">
        <x:v>2014-09</x:v>
      </x:c>
      <x:c r="B39" s="7" t="n">
        <x:v>12465</x:v>
      </x:c>
      <x:c r="C39" s="7" t="n">
        <x:v>12144</x:v>
      </x:c>
      <x:c r="D39" s="7" t="n">
        <x:v>321</x:v>
      </x:c>
      <x:c r="E39" s="7" t="n">
        <x:v>0</x:v>
      </x:c>
      <x:c r="F39" s="8" t="n">
        <x:f>IF(C39+D39=0,"n.a.",C39/(C39+D39))</x:f>
        <x:v>0.9742478941034898</x:v>
      </x:c>
      <x:c r="G39" s="7" t="n">
        <x:v>12465</x:v>
      </x:c>
      <x:c r="H39" s="7" t="n">
        <x:v>1399</x:v>
      </x:c>
      <x:c r="I39" s="8" t="n">
        <x:f>IF(G39=0,"n.a.",H39/G39)</x:f>
        <x:v>0.11223425591656638</x:v>
      </x:c>
      <x:c r="J39" s="1"/>
      <x:c r="K39" s="1"/>
    </x:row>
    <x:row r="40" ht="24" customHeight="1">
      <x:c r="A40" s="1" t="str">
        <x:v>2014-10</x:v>
      </x:c>
      <x:c r="B40" s="7" t="n">
        <x:v>12902</x:v>
      </x:c>
      <x:c r="C40" s="7" t="n">
        <x:v>12501</x:v>
      </x:c>
      <x:c r="D40" s="7" t="n">
        <x:v>401</x:v>
      </x:c>
      <x:c r="E40" s="7" t="n">
        <x:v>0</x:v>
      </x:c>
      <x:c r="F40" s="8" t="n">
        <x:f>IF(C40+D40=0,"n.a.",C40/(C40+D40))</x:f>
        <x:v>0.9689195473569989</x:v>
      </x:c>
      <x:c r="G40" s="7" t="n">
        <x:v>12902</x:v>
      </x:c>
      <x:c r="H40" s="7" t="n">
        <x:v>1405</x:v>
      </x:c>
      <x:c r="I40" s="8" t="n">
        <x:f>IF(G40=0,"n.a.",H40/G40)</x:f>
        <x:v>0.10889784529530305</x:v>
      </x:c>
      <x:c r="J40" s="1"/>
      <x:c r="K40" s="1"/>
    </x:row>
    <x:row r="41" ht="24" customHeight="1">
      <x:c r="A41" s="1" t="str">
        <x:v>2014-11</x:v>
      </x:c>
      <x:c r="B41" s="7" t="n">
        <x:v>11258</x:v>
      </x:c>
      <x:c r="C41" s="7" t="n">
        <x:v>10920</x:v>
      </x:c>
      <x:c r="D41" s="7" t="n">
        <x:v>338</x:v>
      </x:c>
      <x:c r="E41" s="7" t="n">
        <x:v>0</x:v>
      </x:c>
      <x:c r="F41" s="8" t="n">
        <x:f>IF(C41+D41=0,"n.a.",C41/(C41+D41))</x:f>
        <x:v>0.9699769053117783</x:v>
      </x:c>
      <x:c r="G41" s="7" t="n">
        <x:v>11258</x:v>
      </x:c>
      <x:c r="H41" s="7" t="n">
        <x:v>1647</x:v>
      </x:c>
      <x:c r="I41" s="8" t="n">
        <x:f>IF(G41=0,"n.a.",H41/G41)</x:f>
        <x:v>0.1462959673121336</x:v>
      </x:c>
      <x:c r="J41" s="1"/>
      <x:c r="K41" s="1"/>
    </x:row>
    <x:row r="42" ht="24" customHeight="1">
      <x:c r="A42" s="1" t="str">
        <x:v>2014-12</x:v>
      </x:c>
      <x:c r="B42" s="7" t="n">
        <x:v>11684</x:v>
      </x:c>
      <x:c r="C42" s="7" t="n">
        <x:v>11254</x:v>
      </x:c>
      <x:c r="D42" s="7" t="n">
        <x:v>430</x:v>
      </x:c>
      <x:c r="E42" s="7" t="n">
        <x:v>0</x:v>
      </x:c>
      <x:c r="F42" s="8" t="n">
        <x:f>IF(C42+D42=0,"n.a.",C42/(C42+D42))</x:f>
        <x:v>0.9631975350907224</x:v>
      </x:c>
      <x:c r="G42" s="7" t="n">
        <x:v>11684</x:v>
      </x:c>
      <x:c r="H42" s="7" t="n">
        <x:v>1151</x:v>
      </x:c>
      <x:c r="I42" s="8" t="n">
        <x:f>IF(G42=0,"n.a.",H42/G42)</x:f>
        <x:v>0.0985107839780897</x:v>
      </x:c>
      <x:c r="J42" s="1"/>
      <x:c r="K42" s="1"/>
    </x:row>
    <x:row r="43" ht="24" customHeight="1">
      <x:c r="A43" s="1" t="str">
        <x:v>2015-01</x:v>
      </x:c>
      <x:c r="B43" s="7" t="n">
        <x:v>12630</x:v>
      </x:c>
      <x:c r="C43" s="7" t="n">
        <x:v>12245</x:v>
      </x:c>
      <x:c r="D43" s="7" t="n">
        <x:v>385</x:v>
      </x:c>
      <x:c r="E43" s="7" t="n">
        <x:v>0</x:v>
      </x:c>
      <x:c r="F43" s="8" t="n">
        <x:f>IF(C43+D43=0,"n.a.",C43/(C43+D43))</x:f>
        <x:v>0.9695170229612035</x:v>
      </x:c>
      <x:c r="G43" s="7" t="n">
        <x:v>12630</x:v>
      </x:c>
      <x:c r="H43" s="7" t="n">
        <x:v>1108</x:v>
      </x:c>
      <x:c r="I43" s="8" t="n">
        <x:f>IF(G43=0,"n.a.",H43/G43)</x:f>
        <x:v>0.08772763262074426</x:v>
      </x:c>
      <x:c r="J43" s="1"/>
      <x:c r="K43" s="1"/>
    </x:row>
    <x:row r="44" ht="24" customHeight="1">
      <x:c r="A44" s="1" t="str">
        <x:v>2015-02</x:v>
      </x:c>
      <x:c r="B44" s="7" t="n">
        <x:v>12685</x:v>
      </x:c>
      <x:c r="C44" s="7" t="n">
        <x:v>12283</x:v>
      </x:c>
      <x:c r="D44" s="7" t="n">
        <x:v>402</x:v>
      </x:c>
      <x:c r="E44" s="7" t="n">
        <x:v>0</x:v>
      </x:c>
      <x:c r="F44" s="8" t="n">
        <x:f>IF(C44+D44=0,"n.a.",C44/(C44+D44))</x:f>
        <x:v>0.9683090264091446</x:v>
      </x:c>
      <x:c r="G44" s="7" t="n">
        <x:v>12685</x:v>
      </x:c>
      <x:c r="H44" s="7" t="n">
        <x:v>1232</x:v>
      </x:c>
      <x:c r="I44" s="8" t="n">
        <x:f>IF(G44=0,"n.a.",H44/G44)</x:f>
        <x:v>0.09712258573117856</x:v>
      </x:c>
      <x:c r="J44" s="1"/>
      <x:c r="K44" s="1"/>
    </x:row>
    <x:row r="45" ht="24" customHeight="1">
      <x:c r="A45" s="1" t="str">
        <x:v>2015-03</x:v>
      </x:c>
      <x:c r="B45" s="7" t="n">
        <x:v>14519</x:v>
      </x:c>
      <x:c r="C45" s="7" t="n">
        <x:v>14087</x:v>
      </x:c>
      <x:c r="D45" s="7" t="n">
        <x:v>432</x:v>
      </x:c>
      <x:c r="E45" s="7" t="n">
        <x:v>0</x:v>
      </x:c>
      <x:c r="F45" s="8" t="n">
        <x:f>IF(C45+D45=0,"n.a.",C45/(C45+D45))</x:f>
        <x:v>0.9702458847028033</x:v>
      </x:c>
      <x:c r="G45" s="7" t="n">
        <x:v>14519</x:v>
      </x:c>
      <x:c r="H45" s="7" t="n">
        <x:v>1436</x:v>
      </x:c>
      <x:c r="I45" s="8" t="n">
        <x:f>IF(G45=0,"n.a.",H45/G45)</x:f>
        <x:v>0.09890488325642262</x:v>
      </x:c>
      <x:c r="J45" s="1"/>
      <x:c r="K45" s="1"/>
    </x:row>
    <x:row r="46" ht="24" customHeight="1">
      <x:c r="A46" s="1" t="str">
        <x:v>2015-04</x:v>
      </x:c>
      <x:c r="B46" s="7" t="n">
        <x:v>13759</x:v>
      </x:c>
      <x:c r="C46" s="7" t="n">
        <x:v>13306</x:v>
      </x:c>
      <x:c r="D46" s="7" t="n">
        <x:v>453</x:v>
      </x:c>
      <x:c r="E46" s="7" t="n">
        <x:v>0</x:v>
      </x:c>
      <x:c r="F46" s="8" t="n">
        <x:f>IF(C46+D46=0,"n.a.",C46/(C46+D46))</x:f>
        <x:v>0.9670760956464859</x:v>
      </x:c>
      <x:c r="G46" s="7" t="n">
        <x:v>13759</x:v>
      </x:c>
      <x:c r="H46" s="7" t="n">
        <x:v>1079</x:v>
      </x:c>
      <x:c r="I46" s="8" t="n">
        <x:f>IF(G46=0,"n.a.",H46/G46)</x:f>
        <x:v>0.07842139690384475</x:v>
      </x:c>
      <x:c r="J46" s="1"/>
      <x:c r="K46" s="1"/>
    </x:row>
    <x:row r="47" ht="24" customHeight="1">
      <x:c r="A47" s="1" t="str">
        <x:v>2015-05</x:v>
      </x:c>
      <x:c r="B47" s="7" t="n">
        <x:v>13688</x:v>
      </x:c>
      <x:c r="C47" s="7" t="n">
        <x:v>13311</x:v>
      </x:c>
      <x:c r="D47" s="7" t="n">
        <x:v>377</x:v>
      </x:c>
      <x:c r="E47" s="7" t="n">
        <x:v>0</x:v>
      </x:c>
      <x:c r="F47" s="8" t="n">
        <x:f>IF(C47+D47=0,"n.a.",C47/(C47+D47))</x:f>
        <x:v>0.972457627118644</x:v>
      </x:c>
      <x:c r="G47" s="7" t="n">
        <x:v>13688</x:v>
      </x:c>
      <x:c r="H47" s="7" t="n">
        <x:v>1007</x:v>
      </x:c>
      <x:c r="I47" s="8" t="n">
        <x:f>IF(G47=0,"n.a.",H47/G47)</x:f>
        <x:v>0.07356808883693747</x:v>
      </x:c>
      <x:c r="J47" s="1"/>
      <x:c r="K47" s="1"/>
    </x:row>
    <x:row r="48" ht="24" customHeight="1">
      <x:c r="A48" s="1" t="str">
        <x:v>2015-06</x:v>
      </x:c>
      <x:c r="B48" s="7" t="n">
        <x:v>14521</x:v>
      </x:c>
      <x:c r="C48" s="7" t="n">
        <x:v>14106</x:v>
      </x:c>
      <x:c r="D48" s="7" t="n">
        <x:v>415</x:v>
      </x:c>
      <x:c r="E48" s="7" t="n">
        <x:v>0</x:v>
      </x:c>
      <x:c r="F48" s="8" t="n">
        <x:f>IF(C48+D48=0,"n.a.",C48/(C48+D48))</x:f>
        <x:v>0.9714207010536464</x:v>
      </x:c>
      <x:c r="G48" s="7" t="n">
        <x:v>14521</x:v>
      </x:c>
      <x:c r="H48" s="7" t="n">
        <x:v>996</x:v>
      </x:c>
      <x:c r="I48" s="8" t="n">
        <x:f>IF(G48=0,"n.a.",H48/G48)</x:f>
        <x:v>0.06859031747124854</x:v>
      </x:c>
      <x:c r="J48" s="1"/>
      <x:c r="K48" s="1"/>
    </x:row>
    <x:row r="49" ht="24" customHeight="1">
      <x:c r="A49" s="1" t="str">
        <x:v>2015-07</x:v>
      </x:c>
      <x:c r="B49" s="7" t="n">
        <x:v>15921</x:v>
      </x:c>
      <x:c r="C49" s="7" t="n">
        <x:v>15455</x:v>
      </x:c>
      <x:c r="D49" s="7" t="n">
        <x:v>466</x:v>
      </x:c>
      <x:c r="E49" s="7" t="n">
        <x:v>0</x:v>
      </x:c>
      <x:c r="F49" s="8" t="n">
        <x:f>IF(C49+D49=0,"n.a.",C49/(C49+D49))</x:f>
        <x:v>0.9707304817536587</x:v>
      </x:c>
      <x:c r="G49" s="7" t="n">
        <x:v>15921</x:v>
      </x:c>
      <x:c r="H49" s="7" t="n">
        <x:v>1245</x:v>
      </x:c>
      <x:c r="I49" s="8" t="n">
        <x:f>IF(G49=0,"n.a.",H49/G49)</x:f>
        <x:v>0.07819860561522518</x:v>
      </x:c>
      <x:c r="J49" s="1"/>
      <x:c r="K49" s="1"/>
    </x:row>
    <x:row r="50" ht="24" customHeight="1">
      <x:c r="A50" s="1" t="str">
        <x:v>2015-08</x:v>
      </x:c>
      <x:c r="B50" s="7" t="n">
        <x:v>15771</x:v>
      </x:c>
      <x:c r="C50" s="7" t="n">
        <x:v>15346</x:v>
      </x:c>
      <x:c r="D50" s="7" t="n">
        <x:v>425</x:v>
      </x:c>
      <x:c r="E50" s="7" t="n">
        <x:v>0</x:v>
      </x:c>
      <x:c r="F50" s="8" t="n">
        <x:f>IF(C50+D50=0,"n.a.",C50/(C50+D50))</x:f>
        <x:v>0.9730518039439477</x:v>
      </x:c>
      <x:c r="G50" s="7" t="n">
        <x:v>15771</x:v>
      </x:c>
      <x:c r="H50" s="7" t="n">
        <x:v>2601</x:v>
      </x:c>
      <x:c r="I50" s="8" t="n">
        <x:f>IF(G50=0,"n.a.",H50/G50)</x:f>
        <x:v>0.16492295986303976</x:v>
      </x:c>
      <x:c r="J50" s="1"/>
      <x:c r="K50" s="1"/>
    </x:row>
    <x:row r="51" ht="24" customHeight="1">
      <x:c r="A51" s="1" t="str">
        <x:v>2015-09</x:v>
      </x:c>
      <x:c r="B51" s="7" t="n">
        <x:v>14339</x:v>
      </x:c>
      <x:c r="C51" s="7" t="n">
        <x:v>13973</x:v>
      </x:c>
      <x:c r="D51" s="7" t="n">
        <x:v>366</x:v>
      </x:c>
      <x:c r="E51" s="7" t="n">
        <x:v>0</x:v>
      </x:c>
      <x:c r="F51" s="8" t="n">
        <x:f>IF(C51+D51=0,"n.a.",C51/(C51+D51))</x:f>
        <x:v>0.974475207476114</x:v>
      </x:c>
      <x:c r="G51" s="7" t="n">
        <x:v>14339</x:v>
      </x:c>
      <x:c r="H51" s="7" t="n">
        <x:v>1027</x:v>
      </x:c>
      <x:c r="I51" s="8" t="n">
        <x:f>IF(G51=0,"n.a.",H51/G51)</x:f>
        <x:v>0.07162284678150499</x:v>
      </x:c>
      <x:c r="J51" s="1"/>
      <x:c r="K51" s="1"/>
    </x:row>
    <x:row r="52" ht="24" customHeight="1">
      <x:c r="A52" s="1" t="str">
        <x:v>2015-10</x:v>
      </x:c>
      <x:c r="B52" s="7" t="n">
        <x:v>14904</x:v>
      </x:c>
      <x:c r="C52" s="7" t="n">
        <x:v>14499</x:v>
      </x:c>
      <x:c r="D52" s="7" t="n">
        <x:v>405</x:v>
      </x:c>
      <x:c r="E52" s="7" t="n">
        <x:v>0</x:v>
      </x:c>
      <x:c r="F52" s="8" t="n">
        <x:f>IF(C52+D52=0,"n.a.",C52/(C52+D52))</x:f>
        <x:v>0.9728260869565217</x:v>
      </x:c>
      <x:c r="G52" s="7" t="n">
        <x:v>14904</x:v>
      </x:c>
      <x:c r="H52" s="7" t="n">
        <x:v>1803</x:v>
      </x:c>
      <x:c r="I52" s="8" t="n">
        <x:f>IF(G52=0,"n.a.",H52/G52)</x:f>
        <x:v>0.12097423510466988</x:v>
      </x:c>
      <x:c r="J52" s="1"/>
      <x:c r="K52" s="1"/>
    </x:row>
    <x:row r="53" ht="24" customHeight="1">
      <x:c r="A53" s="1" t="str">
        <x:v>2015-11</x:v>
      </x:c>
      <x:c r="B53" s="7" t="n">
        <x:v>12899</x:v>
      </x:c>
      <x:c r="C53" s="7" t="n">
        <x:v>12500</x:v>
      </x:c>
      <x:c r="D53" s="7" t="n">
        <x:v>399</x:v>
      </x:c>
      <x:c r="E53" s="7" t="n">
        <x:v>0</x:v>
      </x:c>
      <x:c r="F53" s="8" t="n">
        <x:f>IF(C53+D53=0,"n.a.",C53/(C53+D53))</x:f>
        <x:v>0.969067369563532</x:v>
      </x:c>
      <x:c r="G53" s="7" t="n">
        <x:v>12899</x:v>
      </x:c>
      <x:c r="H53" s="7" t="n">
        <x:v>1119</x:v>
      </x:c>
      <x:c r="I53" s="8" t="n">
        <x:f>IF(G53=0,"n.a.",H53/G53)</x:f>
        <x:v>0.08675091092332739</x:v>
      </x:c>
      <x:c r="J53" s="1"/>
      <x:c r="K53" s="1"/>
    </x:row>
    <x:row r="54" ht="24" customHeight="1">
      <x:c r="A54" s="1" t="str">
        <x:v>2015-12</x:v>
      </x:c>
      <x:c r="B54" s="7" t="n">
        <x:v>12884</x:v>
      </x:c>
      <x:c r="C54" s="7" t="n">
        <x:v>12537</x:v>
      </x:c>
      <x:c r="D54" s="7" t="n">
        <x:v>347</x:v>
      </x:c>
      <x:c r="E54" s="7" t="n">
        <x:v>0</x:v>
      </x:c>
      <x:c r="F54" s="8" t="n">
        <x:f>IF(C54+D54=0,"n.a.",C54/(C54+D54))</x:f>
        <x:v>0.973067370381869</x:v>
      </x:c>
      <x:c r="G54" s="7" t="n">
        <x:v>12884</x:v>
      </x:c>
      <x:c r="H54" s="7" t="n">
        <x:v>904</x:v>
      </x:c>
      <x:c r="I54" s="8" t="n">
        <x:f>IF(G54=0,"n.a.",H54/G54)</x:f>
        <x:v>0.07016454517230673</x:v>
      </x:c>
      <x:c r="J54" s="1"/>
      <x:c r="K54" s="1"/>
    </x:row>
    <x:row r="55" ht="24" customHeight="1">
      <x:c r="A55" s="1" t="str">
        <x:v>2016-01</x:v>
      </x:c>
      <x:c r="B55" s="7" t="n">
        <x:v>13842</x:v>
      </x:c>
      <x:c r="C55" s="7" t="n">
        <x:v>13383</x:v>
      </x:c>
      <x:c r="D55" s="7" t="n">
        <x:v>459</x:v>
      </x:c>
      <x:c r="E55" s="7" t="n">
        <x:v>0</x:v>
      </x:c>
      <x:c r="F55" s="8" t="n">
        <x:f>IF(C55+D55=0,"n.a.",C55/(C55+D55))</x:f>
        <x:v>0.9668400520156046</x:v>
      </x:c>
      <x:c r="G55" s="7" t="n">
        <x:v>13842</x:v>
      </x:c>
      <x:c r="H55" s="7" t="n">
        <x:v>1009</x:v>
      </x:c>
      <x:c r="I55" s="8" t="n">
        <x:f>IF(G55=0,"n.a.",H55/G55)</x:f>
        <x:v>0.07289409044935703</x:v>
      </x:c>
      <x:c r="J55" s="1"/>
      <x:c r="K55" s="1"/>
    </x:row>
    <x:row r="56" ht="24" customHeight="1">
      <x:c r="A56" s="1" t="str">
        <x:v>2016-02</x:v>
      </x:c>
      <x:c r="B56" s="7" t="n">
        <x:v>14147</x:v>
      </x:c>
      <x:c r="C56" s="7" t="n">
        <x:v>13721</x:v>
      </x:c>
      <x:c r="D56" s="7" t="n">
        <x:v>426</x:v>
      </x:c>
      <x:c r="E56" s="7" t="n">
        <x:v>0</x:v>
      </x:c>
      <x:c r="F56" s="8" t="n">
        <x:f>IF(C56+D56=0,"n.a.",C56/(C56+D56))</x:f>
        <x:v>0.9698876086802856</x:v>
      </x:c>
      <x:c r="G56" s="7" t="n">
        <x:v>14147</x:v>
      </x:c>
      <x:c r="H56" s="7" t="n">
        <x:v>875</x:v>
      </x:c>
      <x:c r="I56" s="8" t="n">
        <x:f>IF(G56=0,"n.a.",H56/G56)</x:f>
        <x:v>0.06185056902523503</x:v>
      </x:c>
      <x:c r="J56" s="1"/>
      <x:c r="K56" s="1"/>
    </x:row>
    <x:row r="57" ht="24" customHeight="1">
      <x:c r="A57" s="1" t="str">
        <x:v>2016-03</x:v>
      </x:c>
      <x:c r="B57" s="7" t="n">
        <x:v>16618</x:v>
      </x:c>
      <x:c r="C57" s="7" t="n">
        <x:v>16112</x:v>
      </x:c>
      <x:c r="D57" s="7" t="n">
        <x:v>506</x:v>
      </x:c>
      <x:c r="E57" s="7" t="n">
        <x:v>0</x:v>
      </x:c>
      <x:c r="F57" s="8" t="n">
        <x:f>IF(C57+D57=0,"n.a.",C57/(C57+D57))</x:f>
        <x:v>0.9695510891804068</x:v>
      </x:c>
      <x:c r="G57" s="7" t="n">
        <x:v>16618</x:v>
      </x:c>
      <x:c r="H57" s="7" t="n">
        <x:v>926</x:v>
      </x:c>
      <x:c r="I57" s="8" t="n">
        <x:f>IF(G57=0,"n.a.",H57/G57)</x:f>
        <x:v>0.05572271031411722</x:v>
      </x:c>
      <x:c r="J57" s="1"/>
      <x:c r="K57" s="1"/>
    </x:row>
    <x:row r="58" ht="24" customHeight="1">
      <x:c r="A58" s="1" t="str">
        <x:v>2016-04</x:v>
      </x:c>
      <x:c r="B58" s="7" t="n">
        <x:v>15608</x:v>
      </x:c>
      <x:c r="C58" s="7" t="n">
        <x:v>15167</x:v>
      </x:c>
      <x:c r="D58" s="7" t="n">
        <x:v>441</x:v>
      </x:c>
      <x:c r="E58" s="7" t="n">
        <x:v>0</x:v>
      </x:c>
      <x:c r="F58" s="8" t="n">
        <x:f>IF(C58+D58=0,"n.a.",C58/(C58+D58))</x:f>
        <x:v>0.9717452588416197</x:v>
      </x:c>
      <x:c r="G58" s="7" t="n">
        <x:v>15608</x:v>
      </x:c>
      <x:c r="H58" s="7" t="n">
        <x:v>800</x:v>
      </x:c>
      <x:c r="I58" s="8" t="n">
        <x:f>IF(G58=0,"n.a.",H58/G58)</x:f>
        <x:v>0.051255766273705795</x:v>
      </x:c>
      <x:c r="J58" s="1"/>
      <x:c r="K58" s="1"/>
    </x:row>
    <x:row r="59" ht="24" customHeight="1">
      <x:c r="A59" s="1" t="str">
        <x:v>2016-05</x:v>
      </x:c>
      <x:c r="B59" s="7" t="n">
        <x:v>15519</x:v>
      </x:c>
      <x:c r="C59" s="7" t="n">
        <x:v>15097</x:v>
      </x:c>
      <x:c r="D59" s="7" t="n">
        <x:v>422</x:v>
      </x:c>
      <x:c r="E59" s="7" t="n">
        <x:v>0</x:v>
      </x:c>
      <x:c r="F59" s="8" t="n">
        <x:f>IF(C59+D59=0,"n.a.",C59/(C59+D59))</x:f>
        <x:v>0.9728075262581352</x:v>
      </x:c>
      <x:c r="G59" s="7" t="n">
        <x:v>15519</x:v>
      </x:c>
      <x:c r="H59" s="7" t="n">
        <x:v>1123</x:v>
      </x:c>
      <x:c r="I59" s="8" t="n">
        <x:f>IF(G59=0,"n.a.",H59/G59)</x:f>
        <x:v>0.07236290998131323</x:v>
      </x:c>
      <x:c r="J59" s="1"/>
      <x:c r="K59" s="1"/>
    </x:row>
    <x:row r="60" ht="24" customHeight="1">
      <x:c r="A60" s="1" t="str">
        <x:v>2016-06</x:v>
      </x:c>
      <x:c r="B60" s="7" t="n">
        <x:v>16071</x:v>
      </x:c>
      <x:c r="C60" s="7" t="n">
        <x:v>15645</x:v>
      </x:c>
      <x:c r="D60" s="7" t="n">
        <x:v>426</x:v>
      </x:c>
      <x:c r="E60" s="7" t="n">
        <x:v>0</x:v>
      </x:c>
      <x:c r="F60" s="8" t="n">
        <x:f>IF(C60+D60=0,"n.a.",C60/(C60+D60))</x:f>
        <x:v>0.9734926264700392</x:v>
      </x:c>
      <x:c r="G60" s="7" t="n">
        <x:v>16071</x:v>
      </x:c>
      <x:c r="H60" s="7" t="n">
        <x:v>1293</x:v>
      </x:c>
      <x:c r="I60" s="8" t="n">
        <x:f>IF(G60=0,"n.a.",H60/G60)</x:f>
        <x:v>0.08045547881276834</x:v>
      </x:c>
      <x:c r="J60" s="1"/>
      <x:c r="K60" s="1"/>
    </x:row>
    <x:row r="61" ht="24" customHeight="1">
      <x:c r="A61" s="1" t="str">
        <x:v>2016-07</x:v>
      </x:c>
      <x:c r="B61" s="7" t="n">
        <x:v>16044</x:v>
      </x:c>
      <x:c r="C61" s="7" t="n">
        <x:v>15639</x:v>
      </x:c>
      <x:c r="D61" s="7" t="n">
        <x:v>405</x:v>
      </x:c>
      <x:c r="E61" s="7" t="n">
        <x:v>0</x:v>
      </x:c>
      <x:c r="F61" s="8" t="n">
        <x:f>IF(C61+D61=0,"n.a.",C61/(C61+D61))</x:f>
        <x:v>0.974756918474196</x:v>
      </x:c>
      <x:c r="G61" s="7" t="n">
        <x:v>16044</x:v>
      </x:c>
      <x:c r="H61" s="7" t="n">
        <x:v>1104</x:v>
      </x:c>
      <x:c r="I61" s="8" t="n">
        <x:f>IF(G61=0,"n.a.",H61/G61)</x:f>
        <x:v>0.068810770381451</x:v>
      </x:c>
      <x:c r="J61" s="1"/>
      <x:c r="K61" s="1"/>
    </x:row>
    <x:row r="62" ht="24" customHeight="1">
      <x:c r="A62" s="1" t="str">
        <x:v>2016-08</x:v>
      </x:c>
      <x:c r="B62" s="7" t="n">
        <x:v>17697</x:v>
      </x:c>
      <x:c r="C62" s="7" t="n">
        <x:v>17180</x:v>
      </x:c>
      <x:c r="D62" s="7" t="n">
        <x:v>517</x:v>
      </x:c>
      <x:c r="E62" s="7" t="n">
        <x:v>0</x:v>
      </x:c>
      <x:c r="F62" s="8" t="n">
        <x:f>IF(C62+D62=0,"n.a.",C62/(C62+D62))</x:f>
        <x:v>0.9707860089280669</x:v>
      </x:c>
      <x:c r="G62" s="7" t="n">
        <x:v>17697</x:v>
      </x:c>
      <x:c r="H62" s="7" t="n">
        <x:v>1528</x:v>
      </x:c>
      <x:c r="I62" s="8" t="n">
        <x:f>IF(G62=0,"n.a.",H62/G62)</x:f>
        <x:v>0.08634231790698989</x:v>
      </x:c>
      <x:c r="J62" s="1"/>
      <x:c r="K62" s="1"/>
    </x:row>
    <x:row r="63" ht="24" customHeight="1">
      <x:c r="A63" s="1" t="str">
        <x:v>2016-09</x:v>
      </x:c>
      <x:c r="B63" s="7" t="n">
        <x:v>17587</x:v>
      </x:c>
      <x:c r="C63" s="7" t="n">
        <x:v>16866</x:v>
      </x:c>
      <x:c r="D63" s="7" t="n">
        <x:v>721</x:v>
      </x:c>
      <x:c r="E63" s="7" t="n">
        <x:v>0</x:v>
      </x:c>
      <x:c r="F63" s="8" t="n">
        <x:f>IF(C63+D63=0,"n.a.",C63/(C63+D63))</x:f>
        <x:v>0.9590038096321146</x:v>
      </x:c>
      <x:c r="G63" s="7" t="n">
        <x:v>17587</x:v>
      </x:c>
      <x:c r="H63" s="7" t="n">
        <x:v>1472</x:v>
      </x:c>
      <x:c r="I63" s="8" t="n">
        <x:f>IF(G63=0,"n.a.",H63/G63)</x:f>
        <x:v>0.08369818616023199</x:v>
      </x:c>
      <x:c r="J63" s="1"/>
      <x:c r="K63" s="1"/>
    </x:row>
    <x:row r="64" ht="24" customHeight="1">
      <x:c r="A64" s="1" t="str">
        <x:v>2016-10</x:v>
      </x:c>
      <x:c r="B64" s="7" t="n">
        <x:v>17821</x:v>
      </x:c>
      <x:c r="C64" s="7" t="n">
        <x:v>16898</x:v>
      </x:c>
      <x:c r="D64" s="7" t="n">
        <x:v>923</x:v>
      </x:c>
      <x:c r="E64" s="7" t="n">
        <x:v>0</x:v>
      </x:c>
      <x:c r="F64" s="8" t="n">
        <x:f>IF(C64+D64=0,"n.a.",C64/(C64+D64))</x:f>
        <x:v>0.9482071713147411</x:v>
      </x:c>
      <x:c r="G64" s="7" t="n">
        <x:v>17821</x:v>
      </x:c>
      <x:c r="H64" s="7" t="n">
        <x:v>1388</x:v>
      </x:c>
      <x:c r="I64" s="8" t="n">
        <x:f>IF(G64=0,"n.a.",H64/G64)</x:f>
        <x:v>0.07788564053644577</x:v>
      </x:c>
      <x:c r="J64" s="1"/>
      <x:c r="K64" s="1"/>
    </x:row>
    <x:row r="65" ht="24" customHeight="1">
      <x:c r="A65" s="1" t="str">
        <x:v>2016-11</x:v>
      </x:c>
      <x:c r="B65" s="7" t="n">
        <x:v>15209</x:v>
      </x:c>
      <x:c r="C65" s="7" t="n">
        <x:v>14394</x:v>
      </x:c>
      <x:c r="D65" s="7" t="n">
        <x:v>815</x:v>
      </x:c>
      <x:c r="E65" s="7" t="n">
        <x:v>0</x:v>
      </x:c>
      <x:c r="F65" s="8" t="n">
        <x:f>IF(C65+D65=0,"n.a.",C65/(C65+D65))</x:f>
        <x:v>0.9464133079097903</x:v>
      </x:c>
      <x:c r="G65" s="7" t="n">
        <x:v>15209</x:v>
      </x:c>
      <x:c r="H65" s="7" t="n">
        <x:v>1159</x:v>
      </x:c>
      <x:c r="I65" s="8" t="n">
        <x:f>IF(G65=0,"n.a.",H65/G65)</x:f>
        <x:v>0.0762048786902492</x:v>
      </x:c>
      <x:c r="J65" s="1"/>
      <x:c r="K65" s="1"/>
    </x:row>
    <x:row r="66" ht="24" customHeight="1">
      <x:c r="A66" s="1" t="str">
        <x:v>2016-12</x:v>
      </x:c>
      <x:c r="B66" s="7" t="n">
        <x:v>15342</x:v>
      </x:c>
      <x:c r="C66" s="7" t="n">
        <x:v>14672</x:v>
      </x:c>
      <x:c r="D66" s="7" t="n">
        <x:v>670</x:v>
      </x:c>
      <x:c r="E66" s="7" t="n">
        <x:v>0</x:v>
      </x:c>
      <x:c r="F66" s="8" t="n">
        <x:f>IF(C66+D66=0,"n.a.",C66/(C66+D66))</x:f>
        <x:v>0.9563290314170252</x:v>
      </x:c>
      <x:c r="G66" s="7" t="n">
        <x:v>15342</x:v>
      </x:c>
      <x:c r="H66" s="7" t="n">
        <x:v>957</x:v>
      </x:c>
      <x:c r="I66" s="8" t="n">
        <x:f>IF(G66=0,"n.a.",H66/G66)</x:f>
        <x:v>0.06237778646851779</x:v>
      </x:c>
      <x:c r="J66" s="1"/>
      <x:c r="K66" s="1"/>
    </x:row>
    <x:row r="67" ht="24" customHeight="1">
      <x:c r="A67" s="1" t="str">
        <x:v>2017-01</x:v>
      </x:c>
      <x:c r="B67" s="7" t="n">
        <x:v>21011</x:v>
      </x:c>
      <x:c r="C67" s="7" t="n">
        <x:v>20250</x:v>
      </x:c>
      <x:c r="D67" s="7" t="n">
        <x:v>761</x:v>
      </x:c>
      <x:c r="E67" s="7" t="n">
        <x:v>0</x:v>
      </x:c>
      <x:c r="F67" s="8" t="n">
        <x:f>IF(C67+D67=0,"n.a.",C67/(C67+D67))</x:f>
        <x:v>0.9637808766836419</x:v>
      </x:c>
      <x:c r="G67" s="7" t="n">
        <x:v>21011</x:v>
      </x:c>
      <x:c r="H67" s="7" t="n">
        <x:v>1439</x:v>
      </x:c>
      <x:c r="I67" s="8" t="n">
        <x:f>IF(G67=0,"n.a.",H67/G67)</x:f>
        <x:v>0.06848793489124744</x:v>
      </x:c>
      <x:c r="J67" s="1"/>
      <x:c r="K67" s="1"/>
    </x:row>
    <x:row r="68" ht="24" customHeight="1">
      <x:c r="A68" s="1" t="str">
        <x:v>2017-02</x:v>
      </x:c>
      <x:c r="B68" s="7" t="n">
        <x:v>18120</x:v>
      </x:c>
      <x:c r="C68" s="7" t="n">
        <x:v>17470</x:v>
      </x:c>
      <x:c r="D68" s="7" t="n">
        <x:v>650</x:v>
      </x:c>
      <x:c r="E68" s="7" t="n">
        <x:v>0</x:v>
      </x:c>
      <x:c r="F68" s="8" t="n">
        <x:f>IF(C68+D68=0,"n.a.",C68/(C68+D68))</x:f>
        <x:v>0.9641280353200883</x:v>
      </x:c>
      <x:c r="G68" s="7" t="n">
        <x:v>18120</x:v>
      </x:c>
      <x:c r="H68" s="7" t="n">
        <x:v>981</x:v>
      </x:c>
      <x:c r="I68" s="8" t="n">
        <x:f>IF(G68=0,"n.a.",H68/G68)</x:f>
        <x:v>0.05413907284768212</x:v>
      </x:c>
      <x:c r="J68" s="1"/>
      <x:c r="K68" s="1"/>
    </x:row>
    <x:row r="69" ht="24" customHeight="1">
      <x:c r="A69" s="1" t="str">
        <x:v>2017-03</x:v>
      </x:c>
      <x:c r="B69" s="7" t="n">
        <x:v>19768</x:v>
      </x:c>
      <x:c r="C69" s="7" t="n">
        <x:v>19127</x:v>
      </x:c>
      <x:c r="D69" s="7" t="n">
        <x:v>641</x:v>
      </x:c>
      <x:c r="E69" s="7" t="n">
        <x:v>0</x:v>
      </x:c>
      <x:c r="F69" s="8" t="n">
        <x:f>IF(C69+D69=0,"n.a.",C69/(C69+D69))</x:f>
        <x:v>0.9675738567381627</x:v>
      </x:c>
      <x:c r="G69" s="7" t="n">
        <x:v>19768</x:v>
      </x:c>
      <x:c r="H69" s="7" t="n">
        <x:v>883</x:v>
      </x:c>
      <x:c r="I69" s="8" t="n">
        <x:f>IF(G69=0,"n.a.",H69/G69)</x:f>
        <x:v>0.044668150546337514</x:v>
      </x:c>
      <x:c r="J69" s="1"/>
      <x:c r="K69" s="1"/>
    </x:row>
    <x:row r="70" ht="24" customHeight="1">
      <x:c r="A70" s="1" t="str">
        <x:v>2017-04</x:v>
      </x:c>
      <x:c r="B70" s="7" t="n">
        <x:v>18524</x:v>
      </x:c>
      <x:c r="C70" s="7" t="n">
        <x:v>18070</x:v>
      </x:c>
      <x:c r="D70" s="7" t="n">
        <x:v>454</x:v>
      </x:c>
      <x:c r="E70" s="7" t="n">
        <x:v>0</x:v>
      </x:c>
      <x:c r="F70" s="8" t="n">
        <x:f>IF(C70+D70=0,"n.a.",C70/(C70+D70))</x:f>
        <x:v>0.9754912545886417</x:v>
      </x:c>
      <x:c r="G70" s="7" t="n">
        <x:v>18524</x:v>
      </x:c>
      <x:c r="H70" s="7" t="n">
        <x:v>962</x:v>
      </x:c>
      <x:c r="I70" s="8" t="n">
        <x:f>IF(G70=0,"n.a.",H70/G70)</x:f>
        <x:v>0.05193262794212913</x:v>
      </x:c>
      <x:c r="J70" s="1"/>
      <x:c r="K70" s="1"/>
    </x:row>
    <x:row r="71" ht="24" customHeight="1">
      <x:c r="A71" s="1" t="str">
        <x:v>2017-05</x:v>
      </x:c>
      <x:c r="B71" s="7" t="n">
        <x:v>19285</x:v>
      </x:c>
      <x:c r="C71" s="7" t="n">
        <x:v>18404</x:v>
      </x:c>
      <x:c r="D71" s="7" t="n">
        <x:v>881</x:v>
      </x:c>
      <x:c r="E71" s="7" t="n">
        <x:v>0</x:v>
      </x:c>
      <x:c r="F71" s="8" t="n">
        <x:f>IF(C71+D71=0,"n.a.",C71/(C71+D71))</x:f>
        <x:v>0.9543168265491314</x:v>
      </x:c>
      <x:c r="G71" s="7" t="n">
        <x:v>19285</x:v>
      </x:c>
      <x:c r="H71" s="7" t="n">
        <x:v>1208</x:v>
      </x:c>
      <x:c r="I71" s="8" t="n">
        <x:f>IF(G71=0,"n.a.",H71/G71)</x:f>
        <x:v>0.06263935701322271</x:v>
      </x:c>
      <x:c r="J71" s="1"/>
      <x:c r="K71" s="1"/>
    </x:row>
    <x:row r="72" ht="24" customHeight="1">
      <x:c r="A72" s="1" t="str">
        <x:v>2017-06</x:v>
      </x:c>
      <x:c r="B72" s="7" t="n">
        <x:v>18544</x:v>
      </x:c>
      <x:c r="C72" s="7" t="n">
        <x:v>18145</x:v>
      </x:c>
      <x:c r="D72" s="7" t="n">
        <x:v>399</x:v>
      </x:c>
      <x:c r="E72" s="7" t="n">
        <x:v>0</x:v>
      </x:c>
      <x:c r="F72" s="8" t="n">
        <x:f>IF(C72+D72=0,"n.a.",C72/(C72+D72))</x:f>
        <x:v>0.9784836065573771</x:v>
      </x:c>
      <x:c r="G72" s="7" t="n">
        <x:v>18544</x:v>
      </x:c>
      <x:c r="H72" s="7" t="n">
        <x:v>1030</x:v>
      </x:c>
      <x:c r="I72" s="8" t="n">
        <x:f>IF(G72=0,"n.a.",H72/G72)</x:f>
        <x:v>0.05554357204486626</x:v>
      </x:c>
      <x:c r="J72" s="1"/>
      <x:c r="K72" s="1"/>
    </x:row>
    <x:row r="73" ht="24" customHeight="1">
      <x:c r="A73" s="1" t="str">
        <x:v>2017-07</x:v>
      </x:c>
      <x:c r="B73" s="7" t="n">
        <x:v>20403</x:v>
      </x:c>
      <x:c r="C73" s="7" t="n">
        <x:v>20011</x:v>
      </x:c>
      <x:c r="D73" s="7" t="n">
        <x:v>392</x:v>
      </x:c>
      <x:c r="E73" s="7" t="n">
        <x:v>0</x:v>
      </x:c>
      <x:c r="F73" s="8" t="n">
        <x:f>IF(C73+D73=0,"n.a.",C73/(C73+D73))</x:f>
        <x:v>0.980787139146204</x:v>
      </x:c>
      <x:c r="G73" s="7" t="n">
        <x:v>20403</x:v>
      </x:c>
      <x:c r="H73" s="7" t="n">
        <x:v>605</x:v>
      </x:c>
      <x:c r="I73" s="8" t="n">
        <x:f>IF(G73=0,"n.a.",H73/G73)</x:f>
        <x:v>0.029652502083027006</x:v>
      </x:c>
      <x:c r="J73" s="1"/>
      <x:c r="K73" s="1"/>
    </x:row>
    <x:row r="74" ht="24" customHeight="1">
      <x:c r="A74" s="1" t="str">
        <x:v>2017-08</x:v>
      </x:c>
      <x:c r="B74" s="7" t="n">
        <x:v>21362</x:v>
      </x:c>
      <x:c r="C74" s="7" t="n">
        <x:v>20899</x:v>
      </x:c>
      <x:c r="D74" s="7" t="n">
        <x:v>463</x:v>
      </x:c>
      <x:c r="E74" s="7" t="n">
        <x:v>0</x:v>
      </x:c>
      <x:c r="F74" s="8" t="n">
        <x:f>IF(C74+D74=0,"n.a.",C74/(C74+D74))</x:f>
        <x:v>0.9783259994382548</x:v>
      </x:c>
      <x:c r="G74" s="7" t="n">
        <x:v>21362</x:v>
      </x:c>
      <x:c r="H74" s="7" t="n">
        <x:v>584</x:v>
      </x:c>
      <x:c r="I74" s="8" t="n">
        <x:f>IF(G74=0,"n.a.",H74/G74)</x:f>
        <x:v>0.02733826420747121</x:v>
      </x:c>
      <x:c r="J74" s="1"/>
      <x:c r="K74" s="1"/>
    </x:row>
    <x:row r="75" ht="24" customHeight="1">
      <x:c r="A75" s="1" t="str">
        <x:v>2017-09</x:v>
      </x:c>
      <x:c r="B75" s="7" t="n">
        <x:v>27389</x:v>
      </x:c>
      <x:c r="C75" s="7" t="n">
        <x:v>27061</x:v>
      </x:c>
      <x:c r="D75" s="7" t="n">
        <x:v>328</x:v>
      </x:c>
      <x:c r="E75" s="7" t="n">
        <x:v>0</x:v>
      </x:c>
      <x:c r="F75" s="8" t="n">
        <x:f>IF(C75+D75=0,"n.a.",C75/(C75+D75))</x:f>
        <x:v>0.9880243893533901</x:v>
      </x:c>
      <x:c r="G75" s="7" t="n">
        <x:v>27389</x:v>
      </x:c>
      <x:c r="H75" s="7" t="n">
        <x:v>1112</x:v>
      </x:c>
      <x:c r="I75" s="8" t="n">
        <x:f>IF(G75=0,"n.a.",H75/G75)</x:f>
        <x:v>0.04060024097265325</x:v>
      </x:c>
      <x:c r="J75" s="1"/>
      <x:c r="K75" s="1"/>
    </x:row>
    <x:row r="76" ht="24" customHeight="1">
      <x:c r="A76" s="1" t="str">
        <x:v>2017-10</x:v>
      </x:c>
      <x:c r="B76" s="7" t="n">
        <x:v>20531</x:v>
      </x:c>
      <x:c r="C76" s="7" t="n">
        <x:v>20168</x:v>
      </x:c>
      <x:c r="D76" s="7" t="n">
        <x:v>363</x:v>
      </x:c>
      <x:c r="E76" s="7" t="n">
        <x:v>0</x:v>
      </x:c>
      <x:c r="F76" s="8" t="n">
        <x:f>IF(C76+D76=0,"n.a.",C76/(C76+D76))</x:f>
        <x:v>0.9823194194145438</x:v>
      </x:c>
      <x:c r="G76" s="7" t="n">
        <x:v>20531</x:v>
      </x:c>
      <x:c r="H76" s="7" t="n">
        <x:v>1034</x:v>
      </x:c>
      <x:c r="I76" s="8" t="n">
        <x:f>IF(G76=0,"n.a.",H76/G76)</x:f>
        <x:v>0.050362865910087186</x:v>
      </x:c>
      <x:c r="J76" s="1"/>
      <x:c r="K76" s="1"/>
    </x:row>
    <x:row r="77" ht="24" customHeight="1">
      <x:c r="A77" s="11" t="str">
        <x:v>2017-11 partial</x:v>
      </x:c>
      <x:c r="B77" s="12" t="n">
        <x:v>2841</x:v>
      </x:c>
      <x:c r="C77" s="12" t="n">
        <x:v>2841</x:v>
      </x:c>
      <x:c r="D77" s="12" t="n">
        <x:v>0</x:v>
      </x:c>
      <x:c r="E77" s="12" t="n">
        <x:v>0</x:v>
      </x:c>
      <x:c r="F77" s="13" t="n">
        <x:f>IF(C77+D77=0,"n.a.",C77/(C77+D77))</x:f>
        <x:v>1</x:v>
      </x:c>
      <x:c r="G77" s="12" t="n">
        <x:v>2841</x:v>
      </x:c>
      <x:c r="H77" s="12" t="n">
        <x:v>1</x:v>
      </x:c>
      <x:c r="I77" s="13" t="n">
        <x:f>IF(G77=0,"n.a.",H77/G77)</x:f>
        <x:v>0.00035198873636043646</x:v>
      </x:c>
      <x:c r="J77" s="1"/>
      <x:c r="K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</x:sheetData>
  <x:pageMargins left="0.7" right="0.7" top="0.75" bottom="0.75" header="0.3" footer="0.3"/>
  <x:tableParts count="1">
    <x:tablePart xmlns:r="http://schemas.openxmlformats.org/officeDocument/2006/relationships" r:id="Rba8474a242b24b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29" hidden="0" customWidth="1"/>
    <x:col min="7" max="7" width="17" hidden="0" customWidth="1"/>
    <x:col min="8" max="8" width="17" hidden="0" customWidth="1"/>
    <x:col min="9" max="9" width="32" hidden="0" customWidth="1"/>
    <x:col min="10" max="10" width="24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Review queue · 100 examples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3" t="str">
        <x:v>Longest valid routing delays, not a representative sample. Only blue Owner / Review status / Notes cells are editable.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22" t="str">
        <x:v>Complaint ID</x:v>
      </x:c>
      <x:c r="B5" s="22" t="str">
        <x:v>Product</x:v>
      </x:c>
      <x:c r="C5" s="22" t="str">
        <x:v>Received</x:v>
      </x:c>
      <x:c r="D5" s="22" t="str">
        <x:v>Sent to company</x:v>
      </x:c>
      <x:c r="E5" s="22" t="str">
        <x:v>Routing days</x:v>
      </x:c>
      <x:c r="F5" s="22" t="str">
        <x:v>Review reason</x:v>
      </x:c>
      <x:c r="G5" s="22" t="str">
        <x:v>Owner</x:v>
      </x:c>
      <x:c r="H5" s="22" t="str">
        <x:v>Review status</x:v>
      </x:c>
      <x:c r="I5" s="22" t="str">
        <x:v>Notes</x:v>
      </x:c>
      <x:c r="J5" s="22" t="str">
        <x:v>Next action</x:v>
      </x:c>
      <x:c r="K5" s="1"/>
    </x:row>
    <x:row r="6" ht="42" customHeight="1">
      <x:c r="A6" s="18" t="str">
        <x:v>31504</x:v>
      </x:c>
      <x:c r="B6" s="19" t="str">
        <x:v>Credit card</x:v>
      </x:c>
      <x:c r="C6" s="19" t="str">
        <x:v>2012-04-14</x:v>
      </x:c>
      <x:c r="D6" s="19" t="str">
        <x:v>2017-08-28</x:v>
      </x:c>
      <x:c r="E6" s="19" t="n">
        <x:v>1962</x:v>
      </x:c>
      <x:c r="F6" s="19" t="str">
        <x:v>Routing review</x:v>
      </x:c>
      <x:c r="G6" s="17" t="str"/>
      <x:c r="H6" s="17" t="str">
        <x:v>Not started</x:v>
      </x:c>
      <x:c r="I6" s="17" t="str"/>
      <x:c r="J6" s="19" t="str">
        <x:f>IF(H6="Resolved",IF(AND(G6&lt;&gt;"",I6&lt;&gt;""),"Complete","Add owner and note"),IF(G6="","Assign owner","Review evidence"))</x:f>
        <x:v>Assign owner</x:v>
      </x:c>
      <x:c r="K6" s="1"/>
    </x:row>
    <x:row r="7" ht="42" customHeight="1">
      <x:c r="A7" s="18" t="str">
        <x:v>183885</x:v>
      </x:c>
      <x:c r="B7" s="19" t="str">
        <x:v>Credit reporting</x:v>
      </x:c>
      <x:c r="C7" s="19" t="str">
        <x:v>2012-11-08</x:v>
      </x:c>
      <x:c r="D7" s="19" t="str">
        <x:v>2017-08-28</x:v>
      </x:c>
      <x:c r="E7" s="19" t="n">
        <x:v>1754</x:v>
      </x:c>
      <x:c r="F7" s="19" t="str">
        <x:v>Routing review</x:v>
      </x:c>
      <x:c r="G7" s="17" t="str"/>
      <x:c r="H7" s="17" t="str">
        <x:v>Not started</x:v>
      </x:c>
      <x:c r="I7" s="17" t="str"/>
      <x:c r="J7" s="19" t="str">
        <x:f>IF(H7="Resolved",IF(AND(G7&lt;&gt;"",I7&lt;&gt;""),"Complete","Add owner and note"),IF(G7="","Assign owner","Review evidence"))</x:f>
        <x:v>Assign owner</x:v>
      </x:c>
      <x:c r="K7" s="1"/>
    </x:row>
    <x:row r="8" ht="42" customHeight="1">
      <x:c r="A8" s="18" t="str">
        <x:v>187479</x:v>
      </x:c>
      <x:c r="B8" s="19" t="str">
        <x:v>Credit reporting</x:v>
      </x:c>
      <x:c r="C8" s="19" t="str">
        <x:v>2012-11-09</x:v>
      </x:c>
      <x:c r="D8" s="19" t="str">
        <x:v>2017-08-28</x:v>
      </x:c>
      <x:c r="E8" s="19" t="n">
        <x:v>1753</x:v>
      </x:c>
      <x:c r="F8" s="19" t="str">
        <x:v>Routing review</x:v>
      </x:c>
      <x:c r="G8" s="17" t="str"/>
      <x:c r="H8" s="17" t="str">
        <x:v>Not started</x:v>
      </x:c>
      <x:c r="I8" s="17" t="str"/>
      <x:c r="J8" s="19" t="str">
        <x:f>IF(H8="Resolved",IF(AND(G8&lt;&gt;"",I8&lt;&gt;""),"Complete","Add owner and note"),IF(G8="","Assign owner","Review evidence"))</x:f>
        <x:v>Assign owner</x:v>
      </x:c>
      <x:c r="K8" s="1"/>
    </x:row>
    <x:row r="9" ht="42" customHeight="1">
      <x:c r="A9" s="18" t="str">
        <x:v>245755</x:v>
      </x:c>
      <x:c r="B9" s="19" t="str">
        <x:v>Bank account or service</x:v>
      </x:c>
      <x:c r="C9" s="19" t="str">
        <x:v>2013-01-18</x:v>
      </x:c>
      <x:c r="D9" s="19" t="str">
        <x:v>2017-06-19</x:v>
      </x:c>
      <x:c r="E9" s="19" t="n">
        <x:v>1613</x:v>
      </x:c>
      <x:c r="F9" s="19" t="str">
        <x:v>Routing review</x:v>
      </x:c>
      <x:c r="G9" s="17" t="str"/>
      <x:c r="H9" s="17" t="str">
        <x:v>Not started</x:v>
      </x:c>
      <x:c r="I9" s="17" t="str"/>
      <x:c r="J9" s="19" t="str">
        <x:f>IF(H9="Resolved",IF(AND(G9&lt;&gt;"",I9&lt;&gt;""),"Complete","Add owner and note"),IF(G9="","Assign owner","Review evidence"))</x:f>
        <x:v>Assign owner</x:v>
      </x:c>
      <x:c r="K9" s="1"/>
    </x:row>
    <x:row r="10" ht="42" customHeight="1">
      <x:c r="A10" s="18" t="str">
        <x:v>379744</x:v>
      </x:c>
      <x:c r="B10" s="19" t="str">
        <x:v>Credit reporting</x:v>
      </x:c>
      <x:c r="C10" s="19" t="str">
        <x:v>2013-04-10</x:v>
      </x:c>
      <x:c r="D10" s="19" t="str">
        <x:v>2017-08-28</x:v>
      </x:c>
      <x:c r="E10" s="19" t="n">
        <x:v>1601</x:v>
      </x:c>
      <x:c r="F10" s="19" t="str">
        <x:v>Routing review</x:v>
      </x:c>
      <x:c r="G10" s="17" t="str"/>
      <x:c r="H10" s="17" t="str">
        <x:v>Not started</x:v>
      </x:c>
      <x:c r="I10" s="17" t="str"/>
      <x:c r="J10" s="19" t="str">
        <x:f>IF(H10="Resolved",IF(AND(G10&lt;&gt;"",I10&lt;&gt;""),"Complete","Add owner and note"),IF(G10="","Assign owner","Review evidence"))</x:f>
        <x:v>Assign owner</x:v>
      </x:c>
      <x:c r="K10" s="1"/>
    </x:row>
    <x:row r="11" ht="42" customHeight="1">
      <x:c r="A11" s="18" t="str">
        <x:v>418979</x:v>
      </x:c>
      <x:c r="B11" s="19" t="str">
        <x:v>Mortgage</x:v>
      </x:c>
      <x:c r="C11" s="19" t="str">
        <x:v>2013-05-29</x:v>
      </x:c>
      <x:c r="D11" s="19" t="str">
        <x:v>2017-08-29</x:v>
      </x:c>
      <x:c r="E11" s="19" t="n">
        <x:v>1553</x:v>
      </x:c>
      <x:c r="F11" s="19" t="str">
        <x:v>Routing review</x:v>
      </x:c>
      <x:c r="G11" s="17" t="str"/>
      <x:c r="H11" s="17" t="str">
        <x:v>Not started</x:v>
      </x:c>
      <x:c r="I11" s="17" t="str"/>
      <x:c r="J11" s="19" t="str">
        <x:f>IF(H11="Resolved",IF(AND(G11&lt;&gt;"",I11&lt;&gt;""),"Complete","Add owner and note"),IF(G11="","Assign owner","Review evidence"))</x:f>
        <x:v>Assign owner</x:v>
      </x:c>
      <x:c r="K11" s="1"/>
    </x:row>
    <x:row r="12" ht="42" customHeight="1">
      <x:c r="A12" s="18" t="str">
        <x:v>571656</x:v>
      </x:c>
      <x:c r="B12" s="19" t="str">
        <x:v>Debt collection</x:v>
      </x:c>
      <x:c r="C12" s="19" t="str">
        <x:v>2013-10-25</x:v>
      </x:c>
      <x:c r="D12" s="19" t="str">
        <x:v>2017-09-15</x:v>
      </x:c>
      <x:c r="E12" s="19" t="n">
        <x:v>1421</x:v>
      </x:c>
      <x:c r="F12" s="19" t="str">
        <x:v>Routing review</x:v>
      </x:c>
      <x:c r="G12" s="17" t="str"/>
      <x:c r="H12" s="17" t="str">
        <x:v>Not started</x:v>
      </x:c>
      <x:c r="I12" s="17" t="str"/>
      <x:c r="J12" s="19" t="str">
        <x:f>IF(H12="Resolved",IF(AND(G12&lt;&gt;"",I12&lt;&gt;""),"Complete","Add owner and note"),IF(G12="","Assign owner","Review evidence"))</x:f>
        <x:v>Assign owner</x:v>
      </x:c>
      <x:c r="K12" s="1"/>
    </x:row>
    <x:row r="13" ht="42" customHeight="1">
      <x:c r="A13" s="18" t="str">
        <x:v>464190</x:v>
      </x:c>
      <x:c r="B13" s="19" t="str">
        <x:v>Debt collection</x:v>
      </x:c>
      <x:c r="C13" s="19" t="str">
        <x:v>2013-07-23</x:v>
      </x:c>
      <x:c r="D13" s="19" t="str">
        <x:v>2017-05-18</x:v>
      </x:c>
      <x:c r="E13" s="19" t="n">
        <x:v>1395</x:v>
      </x:c>
      <x:c r="F13" s="19" t="str">
        <x:v>Routing review</x:v>
      </x:c>
      <x:c r="G13" s="17" t="str"/>
      <x:c r="H13" s="17" t="str">
        <x:v>Not started</x:v>
      </x:c>
      <x:c r="I13" s="17" t="str"/>
      <x:c r="J13" s="19" t="str">
        <x:f>IF(H13="Resolved",IF(AND(G13&lt;&gt;"",I13&lt;&gt;""),"Complete","Add owner and note"),IF(G13="","Assign owner","Review evidence"))</x:f>
        <x:v>Assign owner</x:v>
      </x:c>
      <x:c r="K13" s="1"/>
    </x:row>
    <x:row r="14" ht="42" customHeight="1">
      <x:c r="A14" s="18" t="str">
        <x:v>495113</x:v>
      </x:c>
      <x:c r="B14" s="19" t="str">
        <x:v>Debt collection</x:v>
      </x:c>
      <x:c r="C14" s="19" t="str">
        <x:v>2013-08-07</x:v>
      </x:c>
      <x:c r="D14" s="19" t="str">
        <x:v>2017-05-03</x:v>
      </x:c>
      <x:c r="E14" s="19" t="n">
        <x:v>1365</x:v>
      </x:c>
      <x:c r="F14" s="19" t="str">
        <x:v>Routing review</x:v>
      </x:c>
      <x:c r="G14" s="17" t="str"/>
      <x:c r="H14" s="17" t="str">
        <x:v>Not started</x:v>
      </x:c>
      <x:c r="I14" s="17" t="str"/>
      <x:c r="J14" s="19" t="str">
        <x:f>IF(H14="Resolved",IF(AND(G14&lt;&gt;"",I14&lt;&gt;""),"Complete","Add owner and note"),IF(G14="","Assign owner","Review evidence"))</x:f>
        <x:v>Assign owner</x:v>
      </x:c>
      <x:c r="K14" s="1"/>
    </x:row>
    <x:row r="15" ht="42" customHeight="1">
      <x:c r="A15" s="18" t="str">
        <x:v>718767</x:v>
      </x:c>
      <x:c r="B15" s="19" t="str">
        <x:v>Credit reporting</x:v>
      </x:c>
      <x:c r="C15" s="19" t="str">
        <x:v>2014-02-18</x:v>
      </x:c>
      <x:c r="D15" s="19" t="str">
        <x:v>2017-08-11</x:v>
      </x:c>
      <x:c r="E15" s="19" t="n">
        <x:v>1270</x:v>
      </x:c>
      <x:c r="F15" s="19" t="str">
        <x:v>Routing review</x:v>
      </x:c>
      <x:c r="G15" s="17" t="str"/>
      <x:c r="H15" s="17" t="str">
        <x:v>Not started</x:v>
      </x:c>
      <x:c r="I15" s="17" t="str"/>
      <x:c r="J15" s="19" t="str">
        <x:f>IF(H15="Resolved",IF(AND(G15&lt;&gt;"",I15&lt;&gt;""),"Complete","Add owner and note"),IF(G15="","Assign owner","Review evidence"))</x:f>
        <x:v>Assign owner</x:v>
      </x:c>
      <x:c r="K15" s="1"/>
    </x:row>
    <x:row r="16" ht="42" customHeight="1">
      <x:c r="A16" s="18" t="str">
        <x:v>871672</x:v>
      </x:c>
      <x:c r="B16" s="19" t="str">
        <x:v>Credit card</x:v>
      </x:c>
      <x:c r="C16" s="19" t="str">
        <x:v>2014-05-28</x:v>
      </x:c>
      <x:c r="D16" s="19" t="str">
        <x:v>2017-08-28</x:v>
      </x:c>
      <x:c r="E16" s="19" t="n">
        <x:v>1188</x:v>
      </x:c>
      <x:c r="F16" s="19" t="str">
        <x:v>Routing review</x:v>
      </x:c>
      <x:c r="G16" s="17" t="str"/>
      <x:c r="H16" s="17" t="str">
        <x:v>Not started</x:v>
      </x:c>
      <x:c r="I16" s="17" t="str"/>
      <x:c r="J16" s="19" t="str">
        <x:f>IF(H16="Resolved",IF(AND(G16&lt;&gt;"",I16&lt;&gt;""),"Complete","Add owner and note"),IF(G16="","Assign owner","Review evidence"))</x:f>
        <x:v>Assign owner</x:v>
      </x:c>
      <x:c r="K16" s="1"/>
    </x:row>
    <x:row r="17" ht="42" customHeight="1">
      <x:c r="A17" s="18" t="str">
        <x:v>950192</x:v>
      </x:c>
      <x:c r="B17" s="19" t="str">
        <x:v>Debt collection</x:v>
      </x:c>
      <x:c r="C17" s="19" t="str">
        <x:v>2014-07-23</x:v>
      </x:c>
      <x:c r="D17" s="19" t="str">
        <x:v>2017-08-02</x:v>
      </x:c>
      <x:c r="E17" s="19" t="n">
        <x:v>1106</x:v>
      </x:c>
      <x:c r="F17" s="19" t="str">
        <x:v>Routing review; Source timely=No</x:v>
      </x:c>
      <x:c r="G17" s="17" t="str"/>
      <x:c r="H17" s="17" t="str">
        <x:v>Not started</x:v>
      </x:c>
      <x:c r="I17" s="17" t="str"/>
      <x:c r="J17" s="19" t="str">
        <x:f>IF(H17="Resolved",IF(AND(G17&lt;&gt;"",I17&lt;&gt;""),"Complete","Add owner and note"),IF(G17="","Assign owner","Review evidence"))</x:f>
        <x:v>Assign owner</x:v>
      </x:c>
      <x:c r="K17" s="1"/>
    </x:row>
    <x:row r="18" ht="42" customHeight="1">
      <x:c r="A18" s="18" t="str">
        <x:v>965957</x:v>
      </x:c>
      <x:c r="B18" s="19" t="str">
        <x:v>Mortgage</x:v>
      </x:c>
      <x:c r="C18" s="19" t="str">
        <x:v>2014-08-02</x:v>
      </x:c>
      <x:c r="D18" s="19" t="str">
        <x:v>2017-04-27</x:v>
      </x:c>
      <x:c r="E18" s="19" t="n">
        <x:v>999</x:v>
      </x:c>
      <x:c r="F18" s="19" t="str">
        <x:v>Routing review</x:v>
      </x:c>
      <x:c r="G18" s="17" t="str"/>
      <x:c r="H18" s="17" t="str">
        <x:v>Not started</x:v>
      </x:c>
      <x:c r="I18" s="17" t="str"/>
      <x:c r="J18" s="19" t="str">
        <x:f>IF(H18="Resolved",IF(AND(G18&lt;&gt;"",I18&lt;&gt;""),"Complete","Add owner and note"),IF(G18="","Assign owner","Review evidence"))</x:f>
        <x:v>Assign owner</x:v>
      </x:c>
      <x:c r="K18" s="1"/>
    </x:row>
    <x:row r="19" ht="42" customHeight="1">
      <x:c r="A19" s="18" t="str">
        <x:v>196439</x:v>
      </x:c>
      <x:c r="B19" s="19" t="str">
        <x:v>Credit card</x:v>
      </x:c>
      <x:c r="C19" s="19" t="str">
        <x:v>2012-11-23</x:v>
      </x:c>
      <x:c r="D19" s="19" t="str">
        <x:v>2015-08-13</x:v>
      </x:c>
      <x:c r="E19" s="19" t="n">
        <x:v>993</x:v>
      </x:c>
      <x:c r="F19" s="19" t="str">
        <x:v>Routing review</x:v>
      </x:c>
      <x:c r="G19" s="17" t="str"/>
      <x:c r="H19" s="17" t="str">
        <x:v>Not started</x:v>
      </x:c>
      <x:c r="I19" s="17" t="str"/>
      <x:c r="J19" s="19" t="str">
        <x:f>IF(H19="Resolved",IF(AND(G19&lt;&gt;"",I19&lt;&gt;""),"Complete","Add owner and note"),IF(G19="","Assign owner","Review evidence"))</x:f>
        <x:v>Assign owner</x:v>
      </x:c>
      <x:c r="K19" s="1"/>
    </x:row>
    <x:row r="20" ht="42" customHeight="1">
      <x:c r="A20" s="18" t="str">
        <x:v>1245498</x:v>
      </x:c>
      <x:c r="B20" s="19" t="str">
        <x:v>Debt collection</x:v>
      </x:c>
      <x:c r="C20" s="19" t="str">
        <x:v>2015-02-18</x:v>
      </x:c>
      <x:c r="D20" s="19" t="str">
        <x:v>2017-10-24</x:v>
      </x:c>
      <x:c r="E20" s="19" t="n">
        <x:v>979</x:v>
      </x:c>
      <x:c r="F20" s="19" t="str">
        <x:v>Routing review; Source timely=No</x:v>
      </x:c>
      <x:c r="G20" s="17" t="str"/>
      <x:c r="H20" s="17" t="str">
        <x:v>Not started</x:v>
      </x:c>
      <x:c r="I20" s="17" t="str"/>
      <x:c r="J20" s="19" t="str">
        <x:f>IF(H20="Resolved",IF(AND(G20&lt;&gt;"",I20&lt;&gt;""),"Complete","Add owner and note"),IF(G20="","Assign owner","Review evidence"))</x:f>
        <x:v>Assign owner</x:v>
      </x:c>
      <x:c r="K20" s="1"/>
    </x:row>
    <x:row r="21" ht="42" customHeight="1">
      <x:c r="A21" s="18" t="str">
        <x:v>1041388</x:v>
      </x:c>
      <x:c r="B21" s="19" t="str">
        <x:v>Debt collection</x:v>
      </x:c>
      <x:c r="C21" s="19" t="str">
        <x:v>2014-09-23</x:v>
      </x:c>
      <x:c r="D21" s="19" t="str">
        <x:v>2017-05-09</x:v>
      </x:c>
      <x:c r="E21" s="19" t="n">
        <x:v>959</x:v>
      </x:c>
      <x:c r="F21" s="19" t="str">
        <x:v>Routing review</x:v>
      </x:c>
      <x:c r="G21" s="17" t="str"/>
      <x:c r="H21" s="17" t="str">
        <x:v>Not started</x:v>
      </x:c>
      <x:c r="I21" s="17" t="str"/>
      <x:c r="J21" s="19" t="str">
        <x:f>IF(H21="Resolved",IF(AND(G21&lt;&gt;"",I21&lt;&gt;""),"Complete","Add owner and note"),IF(G21="","Assign owner","Review evidence"))</x:f>
        <x:v>Assign owner</x:v>
      </x:c>
      <x:c r="K21" s="1"/>
    </x:row>
    <x:row r="22" ht="42" customHeight="1">
      <x:c r="A22" s="18" t="str">
        <x:v>1111991</x:v>
      </x:c>
      <x:c r="B22" s="19" t="str">
        <x:v>Mortgage</x:v>
      </x:c>
      <x:c r="C22" s="19" t="str">
        <x:v>2014-11-12</x:v>
      </x:c>
      <x:c r="D22" s="19" t="str">
        <x:v>2017-05-09</x:v>
      </x:c>
      <x:c r="E22" s="19" t="n">
        <x:v>909</x:v>
      </x:c>
      <x:c r="F22" s="19" t="str">
        <x:v>Routing review; Source timely=No</x:v>
      </x:c>
      <x:c r="G22" s="17" t="str"/>
      <x:c r="H22" s="17" t="str">
        <x:v>Not started</x:v>
      </x:c>
      <x:c r="I22" s="17" t="str"/>
      <x:c r="J22" s="19" t="str">
        <x:f>IF(H22="Resolved",IF(AND(G22&lt;&gt;"",I22&lt;&gt;""),"Complete","Add owner and note"),IF(G22="","Assign owner","Review evidence"))</x:f>
        <x:v>Assign owner</x:v>
      </x:c>
      <x:c r="K22" s="1"/>
    </x:row>
    <x:row r="23" ht="42" customHeight="1">
      <x:c r="A23" s="18" t="str">
        <x:v>1185067</x:v>
      </x:c>
      <x:c r="B23" s="19" t="str">
        <x:v>Debt collection</x:v>
      </x:c>
      <x:c r="C23" s="19" t="str">
        <x:v>2015-01-07</x:v>
      </x:c>
      <x:c r="D23" s="19" t="str">
        <x:v>2017-05-11</x:v>
      </x:c>
      <x:c r="E23" s="19" t="n">
        <x:v>855</x:v>
      </x:c>
      <x:c r="F23" s="19" t="str">
        <x:v>Routing review</x:v>
      </x:c>
      <x:c r="G23" s="17" t="str"/>
      <x:c r="H23" s="17" t="str">
        <x:v>Not started</x:v>
      </x:c>
      <x:c r="I23" s="17" t="str"/>
      <x:c r="J23" s="19" t="str">
        <x:f>IF(H23="Resolved",IF(AND(G23&lt;&gt;"",I23&lt;&gt;""),"Complete","Add owner and note"),IF(G23="","Assign owner","Review evidence"))</x:f>
        <x:v>Assign owner</x:v>
      </x:c>
      <x:c r="K23" s="1"/>
    </x:row>
    <x:row r="24" ht="42" customHeight="1">
      <x:c r="A24" s="18" t="str">
        <x:v>541902</x:v>
      </x:c>
      <x:c r="B24" s="19" t="str">
        <x:v>Debt collection</x:v>
      </x:c>
      <x:c r="C24" s="19" t="str">
        <x:v>2013-09-25</x:v>
      </x:c>
      <x:c r="D24" s="19" t="str">
        <x:v>2016-01-05</x:v>
      </x:c>
      <x:c r="E24" s="19" t="n">
        <x:v>832</x:v>
      </x:c>
      <x:c r="F24" s="19" t="str">
        <x:v>Routing review; Source timely=No</x:v>
      </x:c>
      <x:c r="G24" s="17" t="str"/>
      <x:c r="H24" s="17" t="str">
        <x:v>Not started</x:v>
      </x:c>
      <x:c r="I24" s="17" t="str"/>
      <x:c r="J24" s="19" t="str">
        <x:f>IF(H24="Resolved",IF(AND(G24&lt;&gt;"",I24&lt;&gt;""),"Complete","Add owner and note"),IF(G24="","Assign owner","Review evidence"))</x:f>
        <x:v>Assign owner</x:v>
      </x:c>
      <x:c r="K24" s="1"/>
    </x:row>
    <x:row r="25" ht="42" customHeight="1">
      <x:c r="A25" s="18" t="str">
        <x:v>1336237</x:v>
      </x:c>
      <x:c r="B25" s="19" t="str">
        <x:v>Mortgage</x:v>
      </x:c>
      <x:c r="C25" s="19" t="str">
        <x:v>2015-04-18</x:v>
      </x:c>
      <x:c r="D25" s="19" t="str">
        <x:v>2017-06-09</x:v>
      </x:c>
      <x:c r="E25" s="19" t="n">
        <x:v>783</x:v>
      </x:c>
      <x:c r="F25" s="19" t="str">
        <x:v>Routing review</x:v>
      </x:c>
      <x:c r="G25" s="17" t="str"/>
      <x:c r="H25" s="17" t="str">
        <x:v>Not started</x:v>
      </x:c>
      <x:c r="I25" s="17" t="str"/>
      <x:c r="J25" s="19" t="str">
        <x:f>IF(H25="Resolved",IF(AND(G25&lt;&gt;"",I25&lt;&gt;""),"Complete","Add owner and note"),IF(G25="","Assign owner","Review evidence"))</x:f>
        <x:v>Assign owner</x:v>
      </x:c>
      <x:c r="K25" s="1"/>
    </x:row>
    <x:row r="26" ht="42" customHeight="1">
      <x:c r="A26" s="18" t="str">
        <x:v>1272543</x:v>
      </x:c>
      <x:c r="B26" s="19" t="str">
        <x:v>Other financial service</x:v>
      </x:c>
      <x:c r="C26" s="19" t="str">
        <x:v>2015-03-08</x:v>
      </x:c>
      <x:c r="D26" s="19" t="str">
        <x:v>2017-04-26</x:v>
      </x:c>
      <x:c r="E26" s="19" t="n">
        <x:v>780</x:v>
      </x:c>
      <x:c r="F26" s="19" t="str">
        <x:v>Routing review</x:v>
      </x:c>
      <x:c r="G26" s="17" t="str"/>
      <x:c r="H26" s="17" t="str">
        <x:v>Not started</x:v>
      </x:c>
      <x:c r="I26" s="17" t="str"/>
      <x:c r="J26" s="19" t="str">
        <x:f>IF(H26="Resolved",IF(AND(G26&lt;&gt;"",I26&lt;&gt;""),"Complete","Add owner and note"),IF(G26="","Assign owner","Review evidence"))</x:f>
        <x:v>Assign owner</x:v>
      </x:c>
      <x:c r="K26" s="1"/>
    </x:row>
    <x:row r="27" ht="42" customHeight="1">
      <x:c r="A27" s="18" t="str">
        <x:v>1308151</x:v>
      </x:c>
      <x:c r="B27" s="19" t="str">
        <x:v>Debt collection</x:v>
      </x:c>
      <x:c r="C27" s="19" t="str">
        <x:v>2015-03-31</x:v>
      </x:c>
      <x:c r="D27" s="19" t="str">
        <x:v>2017-04-24</x:v>
      </x:c>
      <x:c r="E27" s="19" t="n">
        <x:v>755</x:v>
      </x:c>
      <x:c r="F27" s="19" t="str">
        <x:v>Routing review</x:v>
      </x:c>
      <x:c r="G27" s="17" t="str"/>
      <x:c r="H27" s="17" t="str">
        <x:v>Not started</x:v>
      </x:c>
      <x:c r="I27" s="17" t="str"/>
      <x:c r="J27" s="19" t="str">
        <x:f>IF(H27="Resolved",IF(AND(G27&lt;&gt;"",I27&lt;&gt;""),"Complete","Add owner and note"),IF(G27="","Assign owner","Review evidence"))</x:f>
        <x:v>Assign owner</x:v>
      </x:c>
      <x:c r="K27" s="1"/>
    </x:row>
    <x:row r="28" ht="42" customHeight="1">
      <x:c r="A28" s="18" t="str">
        <x:v>746447</x:v>
      </x:c>
      <x:c r="B28" s="19" t="str">
        <x:v>Debt collection</x:v>
      </x:c>
      <x:c r="C28" s="19" t="str">
        <x:v>2014-03-06</x:v>
      </x:c>
      <x:c r="D28" s="19" t="str">
        <x:v>2016-02-18</x:v>
      </x:c>
      <x:c r="E28" s="19" t="n">
        <x:v>714</x:v>
      </x:c>
      <x:c r="F28" s="19" t="str">
        <x:v>Routing review</x:v>
      </x:c>
      <x:c r="G28" s="17" t="str"/>
      <x:c r="H28" s="17" t="str">
        <x:v>Not started</x:v>
      </x:c>
      <x:c r="I28" s="17" t="str"/>
      <x:c r="J28" s="19" t="str">
        <x:f>IF(H28="Resolved",IF(AND(G28&lt;&gt;"",I28&lt;&gt;""),"Complete","Add owner and note"),IF(G28="","Assign owner","Review evidence"))</x:f>
        <x:v>Assign owner</x:v>
      </x:c>
      <x:c r="K28" s="1"/>
    </x:row>
    <x:row r="29" ht="42" customHeight="1">
      <x:c r="A29" s="18" t="str">
        <x:v>442751</x:v>
      </x:c>
      <x:c r="B29" s="19" t="str">
        <x:v>Mortgage</x:v>
      </x:c>
      <x:c r="C29" s="19" t="str">
        <x:v>2013-06-26</x:v>
      </x:c>
      <x:c r="D29" s="19" t="str">
        <x:v>2015-06-09</x:v>
      </x:c>
      <x:c r="E29" s="19" t="n">
        <x:v>713</x:v>
      </x:c>
      <x:c r="F29" s="19" t="str">
        <x:v>Routing review</x:v>
      </x:c>
      <x:c r="G29" s="17" t="str"/>
      <x:c r="H29" s="17" t="str">
        <x:v>Not started</x:v>
      </x:c>
      <x:c r="I29" s="17" t="str"/>
      <x:c r="J29" s="19" t="str">
        <x:f>IF(H29="Resolved",IF(AND(G29&lt;&gt;"",I29&lt;&gt;""),"Complete","Add owner and note"),IF(G29="","Assign owner","Review evidence"))</x:f>
        <x:v>Assign owner</x:v>
      </x:c>
      <x:c r="K29" s="1"/>
    </x:row>
    <x:row r="30" ht="42" customHeight="1">
      <x:c r="A30" s="18" t="str">
        <x:v>756515</x:v>
      </x:c>
      <x:c r="B30" s="19" t="str">
        <x:v>Mortgage</x:v>
      </x:c>
      <x:c r="C30" s="19" t="str">
        <x:v>2014-03-13</x:v>
      </x:c>
      <x:c r="D30" s="19" t="str">
        <x:v>2016-02-22</x:v>
      </x:c>
      <x:c r="E30" s="19" t="n">
        <x:v>711</x:v>
      </x:c>
      <x:c r="F30" s="19" t="str">
        <x:v>Routing review</x:v>
      </x:c>
      <x:c r="G30" s="17" t="str"/>
      <x:c r="H30" s="17" t="str">
        <x:v>Not started</x:v>
      </x:c>
      <x:c r="I30" s="17" t="str"/>
      <x:c r="J30" s="19" t="str">
        <x:f>IF(H30="Resolved",IF(AND(G30&lt;&gt;"",I30&lt;&gt;""),"Complete","Add owner and note"),IF(G30="","Assign owner","Review evidence"))</x:f>
        <x:v>Assign owner</x:v>
      </x:c>
      <x:c r="K30" s="1"/>
    </x:row>
    <x:row r="31" ht="42" customHeight="1">
      <x:c r="A31" s="18" t="str">
        <x:v>10231</x:v>
      </x:c>
      <x:c r="B31" s="19" t="str">
        <x:v>Mortgage</x:v>
      </x:c>
      <x:c r="C31" s="19" t="str">
        <x:v>2012-01-05</x:v>
      </x:c>
      <x:c r="D31" s="19" t="str">
        <x:v>2013-11-18</x:v>
      </x:c>
      <x:c r="E31" s="19" t="n">
        <x:v>683</x:v>
      </x:c>
      <x:c r="F31" s="19" t="str">
        <x:v>Routing review</x:v>
      </x:c>
      <x:c r="G31" s="17" t="str"/>
      <x:c r="H31" s="17" t="str">
        <x:v>Not started</x:v>
      </x:c>
      <x:c r="I31" s="17" t="str"/>
      <x:c r="J31" s="19" t="str">
        <x:f>IF(H31="Resolved",IF(AND(G31&lt;&gt;"",I31&lt;&gt;""),"Complete","Add owner and note"),IF(G31="","Assign owner","Review evidence"))</x:f>
        <x:v>Assign owner</x:v>
      </x:c>
      <x:c r="K31" s="1"/>
    </x:row>
    <x:row r="32" ht="42" customHeight="1">
      <x:c r="A32" s="18" t="str">
        <x:v>14707</x:v>
      </x:c>
      <x:c r="B32" s="19" t="str">
        <x:v>Mortgage</x:v>
      </x:c>
      <x:c r="C32" s="19" t="str">
        <x:v>2012-01-18</x:v>
      </x:c>
      <x:c r="D32" s="19" t="str">
        <x:v>2013-11-19</x:v>
      </x:c>
      <x:c r="E32" s="19" t="n">
        <x:v>671</x:v>
      </x:c>
      <x:c r="F32" s="19" t="str">
        <x:v>Routing review</x:v>
      </x:c>
      <x:c r="G32" s="17" t="str"/>
      <x:c r="H32" s="17" t="str">
        <x:v>Not started</x:v>
      </x:c>
      <x:c r="I32" s="17" t="str"/>
      <x:c r="J32" s="19" t="str">
        <x:f>IF(H32="Resolved",IF(AND(G32&lt;&gt;"",I32&lt;&gt;""),"Complete","Add owner and note"),IF(G32="","Assign owner","Review evidence"))</x:f>
        <x:v>Assign owner</x:v>
      </x:c>
      <x:c r="K32" s="1"/>
    </x:row>
    <x:row r="33" ht="42" customHeight="1">
      <x:c r="A33" s="18" t="str">
        <x:v>1419511</x:v>
      </x:c>
      <x:c r="B33" s="19" t="str">
        <x:v>Other financial service</x:v>
      </x:c>
      <x:c r="C33" s="19" t="str">
        <x:v>2015-06-12</x:v>
      </x:c>
      <x:c r="D33" s="19" t="str">
        <x:v>2017-03-16</x:v>
      </x:c>
      <x:c r="E33" s="19" t="n">
        <x:v>643</x:v>
      </x:c>
      <x:c r="F33" s="19" t="str">
        <x:v>Routing review; Source timely=No</x:v>
      </x:c>
      <x:c r="G33" s="17" t="str"/>
      <x:c r="H33" s="17" t="str">
        <x:v>Not started</x:v>
      </x:c>
      <x:c r="I33" s="17" t="str"/>
      <x:c r="J33" s="19" t="str">
        <x:f>IF(H33="Resolved",IF(AND(G33&lt;&gt;"",I33&lt;&gt;""),"Complete","Add owner and note"),IF(G33="","Assign owner","Review evidence"))</x:f>
        <x:v>Assign owner</x:v>
      </x:c>
      <x:c r="K33" s="1"/>
    </x:row>
    <x:row r="34" ht="42" customHeight="1">
      <x:c r="A34" s="18" t="str">
        <x:v>14713</x:v>
      </x:c>
      <x:c r="B34" s="19" t="str">
        <x:v>Mortgage</x:v>
      </x:c>
      <x:c r="C34" s="19" t="str">
        <x:v>2012-01-18</x:v>
      </x:c>
      <x:c r="D34" s="19" t="str">
        <x:v>2013-10-18</x:v>
      </x:c>
      <x:c r="E34" s="19" t="n">
        <x:v>639</x:v>
      </x:c>
      <x:c r="F34" s="19" t="str">
        <x:v>Routing review</x:v>
      </x:c>
      <x:c r="G34" s="17" t="str"/>
      <x:c r="H34" s="17" t="str">
        <x:v>Not started</x:v>
      </x:c>
      <x:c r="I34" s="17" t="str"/>
      <x:c r="J34" s="19" t="str">
        <x:f>IF(H34="Resolved",IF(AND(G34&lt;&gt;"",I34&lt;&gt;""),"Complete","Add owner and note"),IF(G34="","Assign owner","Review evidence"))</x:f>
        <x:v>Assign owner</x:v>
      </x:c>
      <x:c r="K34" s="1"/>
    </x:row>
    <x:row r="35" ht="42" customHeight="1">
      <x:c r="A35" s="18" t="str">
        <x:v>16453</x:v>
      </x:c>
      <x:c r="B35" s="19" t="str">
        <x:v>Mortgage</x:v>
      </x:c>
      <x:c r="C35" s="19" t="str">
        <x:v>2012-01-24</x:v>
      </x:c>
      <x:c r="D35" s="19" t="str">
        <x:v>2013-10-18</x:v>
      </x:c>
      <x:c r="E35" s="19" t="n">
        <x:v>633</x:v>
      </x:c>
      <x:c r="F35" s="19" t="str">
        <x:v>Routing review</x:v>
      </x:c>
      <x:c r="G35" s="17" t="str"/>
      <x:c r="H35" s="17" t="str">
        <x:v>Not started</x:v>
      </x:c>
      <x:c r="I35" s="17" t="str"/>
      <x:c r="J35" s="19" t="str">
        <x:f>IF(H35="Resolved",IF(AND(G35&lt;&gt;"",I35&lt;&gt;""),"Complete","Add owner and note"),IF(G35="","Assign owner","Review evidence"))</x:f>
        <x:v>Assign owner</x:v>
      </x:c>
      <x:c r="K35" s="1"/>
    </x:row>
    <x:row r="36" ht="42" customHeight="1">
      <x:c r="A36" s="18" t="str">
        <x:v>17383</x:v>
      </x:c>
      <x:c r="B36" s="19" t="str">
        <x:v>Mortgage</x:v>
      </x:c>
      <x:c r="C36" s="19" t="str">
        <x:v>2012-01-26</x:v>
      </x:c>
      <x:c r="D36" s="19" t="str">
        <x:v>2013-10-18</x:v>
      </x:c>
      <x:c r="E36" s="19" t="n">
        <x:v>631</x:v>
      </x:c>
      <x:c r="F36" s="19" t="str">
        <x:v>Routing review</x:v>
      </x:c>
      <x:c r="G36" s="17" t="str"/>
      <x:c r="H36" s="17" t="str">
        <x:v>Not started</x:v>
      </x:c>
      <x:c r="I36" s="17" t="str"/>
      <x:c r="J36" s="19" t="str">
        <x:f>IF(H36="Resolved",IF(AND(G36&lt;&gt;"",I36&lt;&gt;""),"Complete","Add owner and note"),IF(G36="","Assign owner","Review evidence"))</x:f>
        <x:v>Assign owner</x:v>
      </x:c>
      <x:c r="K36" s="1"/>
    </x:row>
    <x:row r="37" ht="42" customHeight="1">
      <x:c r="A37" s="18" t="str">
        <x:v>18110</x:v>
      </x:c>
      <x:c r="B37" s="19" t="str">
        <x:v>Credit card</x:v>
      </x:c>
      <x:c r="C37" s="19" t="str">
        <x:v>2012-01-27</x:v>
      </x:c>
      <x:c r="D37" s="19" t="str">
        <x:v>2013-10-18</x:v>
      </x:c>
      <x:c r="E37" s="19" t="n">
        <x:v>630</x:v>
      </x:c>
      <x:c r="F37" s="19" t="str">
        <x:v>Routing review</x:v>
      </x:c>
      <x:c r="G37" s="17" t="str"/>
      <x:c r="H37" s="17" t="str">
        <x:v>Not started</x:v>
      </x:c>
      <x:c r="I37" s="17" t="str"/>
      <x:c r="J37" s="19" t="str">
        <x:f>IF(H37="Resolved",IF(AND(G37&lt;&gt;"",I37&lt;&gt;""),"Complete","Add owner and note"),IF(G37="","Assign owner","Review evidence"))</x:f>
        <x:v>Assign owner</x:v>
      </x:c>
      <x:c r="K37" s="1"/>
    </x:row>
    <x:row r="38" ht="42" customHeight="1">
      <x:c r="A38" s="18" t="str">
        <x:v>18523</x:v>
      </x:c>
      <x:c r="B38" s="19" t="str">
        <x:v>Mortgage</x:v>
      </x:c>
      <x:c r="C38" s="19" t="str">
        <x:v>2012-01-30</x:v>
      </x:c>
      <x:c r="D38" s="19" t="str">
        <x:v>2013-10-18</x:v>
      </x:c>
      <x:c r="E38" s="19" t="n">
        <x:v>627</x:v>
      </x:c>
      <x:c r="F38" s="19" t="str">
        <x:v>Routing review</x:v>
      </x:c>
      <x:c r="G38" s="17" t="str"/>
      <x:c r="H38" s="17" t="str">
        <x:v>Not started</x:v>
      </x:c>
      <x:c r="I38" s="17" t="str"/>
      <x:c r="J38" s="19" t="str">
        <x:f>IF(H38="Resolved",IF(AND(G38&lt;&gt;"",I38&lt;&gt;""),"Complete","Add owner and note"),IF(G38="","Assign owner","Review evidence"))</x:f>
        <x:v>Assign owner</x:v>
      </x:c>
      <x:c r="K38" s="1"/>
    </x:row>
    <x:row r="39" ht="42" customHeight="1">
      <x:c r="A39" s="18" t="str">
        <x:v>18963</x:v>
      </x:c>
      <x:c r="B39" s="19" t="str">
        <x:v>Mortgage</x:v>
      </x:c>
      <x:c r="C39" s="19" t="str">
        <x:v>2012-01-31</x:v>
      </x:c>
      <x:c r="D39" s="19" t="str">
        <x:v>2013-10-18</x:v>
      </x:c>
      <x:c r="E39" s="19" t="n">
        <x:v>626</x:v>
      </x:c>
      <x:c r="F39" s="19" t="str">
        <x:v>Routing review</x:v>
      </x:c>
      <x:c r="G39" s="17" t="str"/>
      <x:c r="H39" s="17" t="str">
        <x:v>Not started</x:v>
      </x:c>
      <x:c r="I39" s="17" t="str"/>
      <x:c r="J39" s="19" t="str">
        <x:f>IF(H39="Resolved",IF(AND(G39&lt;&gt;"",I39&lt;&gt;""),"Complete","Add owner and note"),IF(G39="","Assign owner","Review evidence"))</x:f>
        <x:v>Assign owner</x:v>
      </x:c>
      <x:c r="K39" s="1"/>
    </x:row>
    <x:row r="40" ht="42" customHeight="1">
      <x:c r="A40" s="18" t="str">
        <x:v>19618</x:v>
      </x:c>
      <x:c r="B40" s="19" t="str">
        <x:v>Mortgage</x:v>
      </x:c>
      <x:c r="C40" s="19" t="str">
        <x:v>2012-02-01</x:v>
      </x:c>
      <x:c r="D40" s="19" t="str">
        <x:v>2013-10-18</x:v>
      </x:c>
      <x:c r="E40" s="19" t="n">
        <x:v>625</x:v>
      </x:c>
      <x:c r="F40" s="19" t="str">
        <x:v>Routing review</x:v>
      </x:c>
      <x:c r="G40" s="17" t="str"/>
      <x:c r="H40" s="17" t="str">
        <x:v>Not started</x:v>
      </x:c>
      <x:c r="I40" s="17" t="str"/>
      <x:c r="J40" s="19" t="str">
        <x:f>IF(H40="Resolved",IF(AND(G40&lt;&gt;"",I40&lt;&gt;""),"Complete","Add owner and note"),IF(G40="","Assign owner","Review evidence"))</x:f>
        <x:v>Assign owner</x:v>
      </x:c>
      <x:c r="K40" s="1"/>
    </x:row>
    <x:row r="41" ht="42" customHeight="1">
      <x:c r="A41" s="18" t="str">
        <x:v>20137</x:v>
      </x:c>
      <x:c r="B41" s="19" t="str">
        <x:v>Mortgage</x:v>
      </x:c>
      <x:c r="C41" s="19" t="str">
        <x:v>2012-02-03</x:v>
      </x:c>
      <x:c r="D41" s="19" t="str">
        <x:v>2013-10-18</x:v>
      </x:c>
      <x:c r="E41" s="19" t="n">
        <x:v>623</x:v>
      </x:c>
      <x:c r="F41" s="19" t="str">
        <x:v>Routing review</x:v>
      </x:c>
      <x:c r="G41" s="17" t="str"/>
      <x:c r="H41" s="17" t="str">
        <x:v>Not started</x:v>
      </x:c>
      <x:c r="I41" s="17" t="str"/>
      <x:c r="J41" s="19" t="str">
        <x:f>IF(H41="Resolved",IF(AND(G41&lt;&gt;"",I41&lt;&gt;""),"Complete","Add owner and note"),IF(G41="","Assign owner","Review evidence"))</x:f>
        <x:v>Assign owner</x:v>
      </x:c>
      <x:c r="K41" s="1"/>
    </x:row>
    <x:row r="42" ht="42" customHeight="1">
      <x:c r="A42" s="18" t="str">
        <x:v>20966</x:v>
      </x:c>
      <x:c r="B42" s="19" t="str">
        <x:v>Credit card</x:v>
      </x:c>
      <x:c r="C42" s="19" t="str">
        <x:v>2012-02-07</x:v>
      </x:c>
      <x:c r="D42" s="19" t="str">
        <x:v>2013-10-18</x:v>
      </x:c>
      <x:c r="E42" s="19" t="n">
        <x:v>619</x:v>
      </x:c>
      <x:c r="F42" s="19" t="str">
        <x:v>Routing review</x:v>
      </x:c>
      <x:c r="G42" s="17" t="str"/>
      <x:c r="H42" s="17" t="str">
        <x:v>Not started</x:v>
      </x:c>
      <x:c r="I42" s="17" t="str"/>
      <x:c r="J42" s="19" t="str">
        <x:f>IF(H42="Resolved",IF(AND(G42&lt;&gt;"",I42&lt;&gt;""),"Complete","Add owner and note"),IF(G42="","Assign owner","Review evidence"))</x:f>
        <x:v>Assign owner</x:v>
      </x:c>
      <x:c r="K42" s="1"/>
    </x:row>
    <x:row r="43" ht="42" customHeight="1">
      <x:c r="A43" s="18" t="str">
        <x:v>22124</x:v>
      </x:c>
      <x:c r="B43" s="19" t="str">
        <x:v>Mortgage</x:v>
      </x:c>
      <x:c r="C43" s="19" t="str">
        <x:v>2012-02-09</x:v>
      </x:c>
      <x:c r="D43" s="19" t="str">
        <x:v>2013-10-18</x:v>
      </x:c>
      <x:c r="E43" s="19" t="n">
        <x:v>617</x:v>
      </x:c>
      <x:c r="F43" s="19" t="str">
        <x:v>Routing review</x:v>
      </x:c>
      <x:c r="G43" s="17" t="str"/>
      <x:c r="H43" s="17" t="str">
        <x:v>Not started</x:v>
      </x:c>
      <x:c r="I43" s="17" t="str"/>
      <x:c r="J43" s="19" t="str">
        <x:f>IF(H43="Resolved",IF(AND(G43&lt;&gt;"",I43&lt;&gt;""),"Complete","Add owner and note"),IF(G43="","Assign owner","Review evidence"))</x:f>
        <x:v>Assign owner</x:v>
      </x:c>
      <x:c r="K43" s="1"/>
    </x:row>
    <x:row r="44" ht="42" customHeight="1">
      <x:c r="A44" s="18" t="str">
        <x:v>23017</x:v>
      </x:c>
      <x:c r="B44" s="19" t="str">
        <x:v>Mortgage</x:v>
      </x:c>
      <x:c r="C44" s="19" t="str">
        <x:v>2012-02-13</x:v>
      </x:c>
      <x:c r="D44" s="19" t="str">
        <x:v>2013-10-18</x:v>
      </x:c>
      <x:c r="E44" s="19" t="n">
        <x:v>613</x:v>
      </x:c>
      <x:c r="F44" s="19" t="str">
        <x:v>Routing review</x:v>
      </x:c>
      <x:c r="G44" s="17" t="str"/>
      <x:c r="H44" s="17" t="str">
        <x:v>Not started</x:v>
      </x:c>
      <x:c r="I44" s="17" t="str"/>
      <x:c r="J44" s="19" t="str">
        <x:f>IF(H44="Resolved",IF(AND(G44&lt;&gt;"",I44&lt;&gt;""),"Complete","Add owner and note"),IF(G44="","Assign owner","Review evidence"))</x:f>
        <x:v>Assign owner</x:v>
      </x:c>
      <x:c r="K44" s="1"/>
    </x:row>
    <x:row r="45" ht="42" customHeight="1">
      <x:c r="A45" s="18" t="str">
        <x:v>23350</x:v>
      </x:c>
      <x:c r="B45" s="19" t="str">
        <x:v>Mortgage</x:v>
      </x:c>
      <x:c r="C45" s="19" t="str">
        <x:v>2012-02-14</x:v>
      </x:c>
      <x:c r="D45" s="19" t="str">
        <x:v>2013-10-18</x:v>
      </x:c>
      <x:c r="E45" s="19" t="n">
        <x:v>612</x:v>
      </x:c>
      <x:c r="F45" s="19" t="str">
        <x:v>Routing review</x:v>
      </x:c>
      <x:c r="G45" s="17" t="str"/>
      <x:c r="H45" s="17" t="str">
        <x:v>Not started</x:v>
      </x:c>
      <x:c r="I45" s="17" t="str"/>
      <x:c r="J45" s="19" t="str">
        <x:f>IF(H45="Resolved",IF(AND(G45&lt;&gt;"",I45&lt;&gt;""),"Complete","Add owner and note"),IF(G45="","Assign owner","Review evidence"))</x:f>
        <x:v>Assign owner</x:v>
      </x:c>
      <x:c r="K45" s="1"/>
    </x:row>
    <x:row r="46" ht="42" customHeight="1">
      <x:c r="A46" s="18" t="str">
        <x:v>24608</x:v>
      </x:c>
      <x:c r="B46" s="19" t="str">
        <x:v>Mortgage</x:v>
      </x:c>
      <x:c r="C46" s="19" t="str">
        <x:v>2012-02-17</x:v>
      </x:c>
      <x:c r="D46" s="19" t="str">
        <x:v>2013-10-18</x:v>
      </x:c>
      <x:c r="E46" s="19" t="n">
        <x:v>609</x:v>
      </x:c>
      <x:c r="F46" s="19" t="str">
        <x:v>Routing review</x:v>
      </x:c>
      <x:c r="G46" s="17" t="str"/>
      <x:c r="H46" s="17" t="str">
        <x:v>Not started</x:v>
      </x:c>
      <x:c r="I46" s="17" t="str"/>
      <x:c r="J46" s="19" t="str">
        <x:f>IF(H46="Resolved",IF(AND(G46&lt;&gt;"",I46&lt;&gt;""),"Complete","Add owner and note"),IF(G46="","Assign owner","Review evidence"))</x:f>
        <x:v>Assign owner</x:v>
      </x:c>
      <x:c r="K46" s="1"/>
    </x:row>
    <x:row r="47" ht="42" customHeight="1">
      <x:c r="A47" s="18" t="str">
        <x:v>1328746</x:v>
      </x:c>
      <x:c r="B47" s="19" t="str">
        <x:v>Mortgage</x:v>
      </x:c>
      <x:c r="C47" s="19" t="str">
        <x:v>2015-04-14</x:v>
      </x:c>
      <x:c r="D47" s="19" t="str">
        <x:v>2016-12-12</x:v>
      </x:c>
      <x:c r="E47" s="19" t="n">
        <x:v>608</x:v>
      </x:c>
      <x:c r="F47" s="19" t="str">
        <x:v>Routing review</x:v>
      </x:c>
      <x:c r="G47" s="17" t="str"/>
      <x:c r="H47" s="17" t="str">
        <x:v>Not started</x:v>
      </x:c>
      <x:c r="I47" s="17" t="str"/>
      <x:c r="J47" s="19" t="str">
        <x:f>IF(H47="Resolved",IF(AND(G47&lt;&gt;"",I47&lt;&gt;""),"Complete","Add owner and note"),IF(G47="","Assign owner","Review evidence"))</x:f>
        <x:v>Assign owner</x:v>
      </x:c>
      <x:c r="K47" s="1"/>
    </x:row>
    <x:row r="48" ht="42" customHeight="1">
      <x:c r="A48" s="18" t="str">
        <x:v>40297</x:v>
      </x:c>
      <x:c r="B48" s="19" t="str">
        <x:v>Bank account or service</x:v>
      </x:c>
      <x:c r="C48" s="19" t="str">
        <x:v>2012-03-23</x:v>
      </x:c>
      <x:c r="D48" s="19" t="str">
        <x:v>2013-11-19</x:v>
      </x:c>
      <x:c r="E48" s="19" t="n">
        <x:v>606</x:v>
      </x:c>
      <x:c r="F48" s="19" t="str">
        <x:v>Routing review</x:v>
      </x:c>
      <x:c r="G48" s="17" t="str"/>
      <x:c r="H48" s="17" t="str">
        <x:v>Not started</x:v>
      </x:c>
      <x:c r="I48" s="17" t="str"/>
      <x:c r="J48" s="19" t="str">
        <x:f>IF(H48="Resolved",IF(AND(G48&lt;&gt;"",I48&lt;&gt;""),"Complete","Add owner and note"),IF(G48="","Assign owner","Review evidence"))</x:f>
        <x:v>Assign owner</x:v>
      </x:c>
      <x:c r="K48" s="1"/>
    </x:row>
    <x:row r="49" ht="42" customHeight="1">
      <x:c r="A49" s="18" t="str">
        <x:v>25046</x:v>
      </x:c>
      <x:c r="B49" s="19" t="str">
        <x:v>Mortgage</x:v>
      </x:c>
      <x:c r="C49" s="19" t="str">
        <x:v>2012-02-21</x:v>
      </x:c>
      <x:c r="D49" s="19" t="str">
        <x:v>2013-10-18</x:v>
      </x:c>
      <x:c r="E49" s="19" t="n">
        <x:v>605</x:v>
      </x:c>
      <x:c r="F49" s="19" t="str">
        <x:v>Routing review</x:v>
      </x:c>
      <x:c r="G49" s="17" t="str"/>
      <x:c r="H49" s="17" t="str">
        <x:v>Not started</x:v>
      </x:c>
      <x:c r="I49" s="17" t="str"/>
      <x:c r="J49" s="19" t="str">
        <x:f>IF(H49="Resolved",IF(AND(G49&lt;&gt;"",I49&lt;&gt;""),"Complete","Add owner and note"),IF(G49="","Assign owner","Review evidence"))</x:f>
        <x:v>Assign owner</x:v>
      </x:c>
      <x:c r="K49" s="1"/>
    </x:row>
    <x:row r="50" ht="42" customHeight="1">
      <x:c r="A50" s="18" t="str">
        <x:v>692786</x:v>
      </x:c>
      <x:c r="B50" s="19" t="str">
        <x:v>Debt collection</x:v>
      </x:c>
      <x:c r="C50" s="19" t="str">
        <x:v>2014-01-30</x:v>
      </x:c>
      <x:c r="D50" s="19" t="str">
        <x:v>2015-09-23</x:v>
      </x:c>
      <x:c r="E50" s="19" t="n">
        <x:v>601</x:v>
      </x:c>
      <x:c r="F50" s="19" t="str">
        <x:v>Routing review</x:v>
      </x:c>
      <x:c r="G50" s="17" t="str"/>
      <x:c r="H50" s="17" t="str">
        <x:v>Not started</x:v>
      </x:c>
      <x:c r="I50" s="17" t="str"/>
      <x:c r="J50" s="19" t="str">
        <x:f>IF(H50="Resolved",IF(AND(G50&lt;&gt;"",I50&lt;&gt;""),"Complete","Add owner and note"),IF(G50="","Assign owner","Review evidence"))</x:f>
        <x:v>Assign owner</x:v>
      </x:c>
      <x:c r="K50" s="1"/>
    </x:row>
    <x:row r="51" ht="42" customHeight="1">
      <x:c r="A51" s="18" t="str">
        <x:v>44756</x:v>
      </x:c>
      <x:c r="B51" s="19" t="str">
        <x:v>Consumer Loan</x:v>
      </x:c>
      <x:c r="C51" s="19" t="str">
        <x:v>2012-04-06</x:v>
      </x:c>
      <x:c r="D51" s="19" t="str">
        <x:v>2013-11-18</x:v>
      </x:c>
      <x:c r="E51" s="19" t="n">
        <x:v>591</x:v>
      </x:c>
      <x:c r="F51" s="19" t="str">
        <x:v>Routing review</x:v>
      </x:c>
      <x:c r="G51" s="17" t="str"/>
      <x:c r="H51" s="17" t="str">
        <x:v>Not started</x:v>
      </x:c>
      <x:c r="I51" s="17" t="str"/>
      <x:c r="J51" s="19" t="str">
        <x:f>IF(H51="Resolved",IF(AND(G51&lt;&gt;"",I51&lt;&gt;""),"Complete","Add owner and note"),IF(G51="","Assign owner","Review evidence"))</x:f>
        <x:v>Assign owner</x:v>
      </x:c>
      <x:c r="K51" s="1"/>
    </x:row>
    <x:row r="52" ht="42" customHeight="1">
      <x:c r="A52" s="18" t="str">
        <x:v>32420</x:v>
      </x:c>
      <x:c r="B52" s="19" t="str">
        <x:v>Mortgage</x:v>
      </x:c>
      <x:c r="C52" s="19" t="str">
        <x:v>2012-03-08</x:v>
      </x:c>
      <x:c r="D52" s="19" t="str">
        <x:v>2013-10-18</x:v>
      </x:c>
      <x:c r="E52" s="19" t="n">
        <x:v>589</x:v>
      </x:c>
      <x:c r="F52" s="19" t="str">
        <x:v>Routing review</x:v>
      </x:c>
      <x:c r="G52" s="17" t="str"/>
      <x:c r="H52" s="17" t="str">
        <x:v>Not started</x:v>
      </x:c>
      <x:c r="I52" s="17" t="str"/>
      <x:c r="J52" s="19" t="str">
        <x:f>IF(H52="Resolved",IF(AND(G52&lt;&gt;"",I52&lt;&gt;""),"Complete","Add owner and note"),IF(G52="","Assign owner","Review evidence"))</x:f>
        <x:v>Assign owner</x:v>
      </x:c>
      <x:c r="K52" s="1"/>
    </x:row>
    <x:row r="53" ht="42" customHeight="1">
      <x:c r="A53" s="18" t="str">
        <x:v>32421</x:v>
      </x:c>
      <x:c r="B53" s="19" t="str">
        <x:v>Mortgage</x:v>
      </x:c>
      <x:c r="C53" s="19" t="str">
        <x:v>2012-03-08</x:v>
      </x:c>
      <x:c r="D53" s="19" t="str">
        <x:v>2013-10-18</x:v>
      </x:c>
      <x:c r="E53" s="19" t="n">
        <x:v>589</x:v>
      </x:c>
      <x:c r="F53" s="19" t="str">
        <x:v>Routing review</x:v>
      </x:c>
      <x:c r="G53" s="17" t="str"/>
      <x:c r="H53" s="17" t="str">
        <x:v>Not started</x:v>
      </x:c>
      <x:c r="I53" s="17" t="str"/>
      <x:c r="J53" s="19" t="str">
        <x:f>IF(H53="Resolved",IF(AND(G53&lt;&gt;"",I53&lt;&gt;""),"Complete","Add owner and note"),IF(G53="","Assign owner","Review evidence"))</x:f>
        <x:v>Assign owner</x:v>
      </x:c>
      <x:c r="K53" s="1"/>
    </x:row>
    <x:row r="54" ht="42" customHeight="1">
      <x:c r="A54" s="18" t="str">
        <x:v>1029622</x:v>
      </x:c>
      <x:c r="B54" s="19" t="str">
        <x:v>Debt collection</x:v>
      </x:c>
      <x:c r="C54" s="19" t="str">
        <x:v>2014-09-15</x:v>
      </x:c>
      <x:c r="D54" s="19" t="str">
        <x:v>2016-04-25</x:v>
      </x:c>
      <x:c r="E54" s="19" t="n">
        <x:v>588</x:v>
      </x:c>
      <x:c r="F54" s="19" t="str">
        <x:v>Routing review; Source timely=No</x:v>
      </x:c>
      <x:c r="G54" s="17" t="str"/>
      <x:c r="H54" s="17" t="str">
        <x:v>Not started</x:v>
      </x:c>
      <x:c r="I54" s="17" t="str"/>
      <x:c r="J54" s="19" t="str">
        <x:f>IF(H54="Resolved",IF(AND(G54&lt;&gt;"",I54&lt;&gt;""),"Complete","Add owner and note"),IF(G54="","Assign owner","Review evidence"))</x:f>
        <x:v>Assign owner</x:v>
      </x:c>
      <x:c r="K54" s="1"/>
    </x:row>
    <x:row r="55" ht="42" customHeight="1">
      <x:c r="A55" s="18" t="str">
        <x:v>66973</x:v>
      </x:c>
      <x:c r="B55" s="19" t="str">
        <x:v>Bank account or service</x:v>
      </x:c>
      <x:c r="C55" s="19" t="str">
        <x:v>2012-04-27</x:v>
      </x:c>
      <x:c r="D55" s="19" t="str">
        <x:v>2013-12-06</x:v>
      </x:c>
      <x:c r="E55" s="19" t="n">
        <x:v>588</x:v>
      </x:c>
      <x:c r="F55" s="19" t="str">
        <x:v>Routing review</x:v>
      </x:c>
      <x:c r="G55" s="17" t="str"/>
      <x:c r="H55" s="17" t="str">
        <x:v>Not started</x:v>
      </x:c>
      <x:c r="I55" s="17" t="str"/>
      <x:c r="J55" s="19" t="str">
        <x:f>IF(H55="Resolved",IF(AND(G55&lt;&gt;"",I55&lt;&gt;""),"Complete","Add owner and note"),IF(G55="","Assign owner","Review evidence"))</x:f>
        <x:v>Assign owner</x:v>
      </x:c>
      <x:c r="K55" s="1"/>
    </x:row>
    <x:row r="56" ht="42" customHeight="1">
      <x:c r="A56" s="18" t="str">
        <x:v>1030911</x:v>
      </x:c>
      <x:c r="B56" s="19" t="str">
        <x:v>Debt collection</x:v>
      </x:c>
      <x:c r="C56" s="19" t="str">
        <x:v>2014-09-16</x:v>
      </x:c>
      <x:c r="D56" s="19" t="str">
        <x:v>2016-04-25</x:v>
      </x:c>
      <x:c r="E56" s="19" t="n">
        <x:v>587</x:v>
      </x:c>
      <x:c r="F56" s="19" t="str">
        <x:v>Routing review; Source timely=No</x:v>
      </x:c>
      <x:c r="G56" s="17" t="str"/>
      <x:c r="H56" s="17" t="str">
        <x:v>Not started</x:v>
      </x:c>
      <x:c r="I56" s="17" t="str"/>
      <x:c r="J56" s="19" t="str">
        <x:f>IF(H56="Resolved",IF(AND(G56&lt;&gt;"",I56&lt;&gt;""),"Complete","Add owner and note"),IF(G56="","Assign owner","Review evidence"))</x:f>
        <x:v>Assign owner</x:v>
      </x:c>
      <x:c r="K56" s="1"/>
    </x:row>
    <x:row r="57" ht="42" customHeight="1">
      <x:c r="A57" s="18" t="str">
        <x:v>68936</x:v>
      </x:c>
      <x:c r="B57" s="19" t="str">
        <x:v>Consumer Loan</x:v>
      </x:c>
      <x:c r="C57" s="19" t="str">
        <x:v>2012-03-10</x:v>
      </x:c>
      <x:c r="D57" s="19" t="str">
        <x:v>2013-10-18</x:v>
      </x:c>
      <x:c r="E57" s="19" t="n">
        <x:v>587</x:v>
      </x:c>
      <x:c r="F57" s="19" t="str">
        <x:v>Routing review</x:v>
      </x:c>
      <x:c r="G57" s="17" t="str"/>
      <x:c r="H57" s="17" t="str">
        <x:v>Not started</x:v>
      </x:c>
      <x:c r="I57" s="17" t="str"/>
      <x:c r="J57" s="19" t="str">
        <x:f>IF(H57="Resolved",IF(AND(G57&lt;&gt;"",I57&lt;&gt;""),"Complete","Add owner and note"),IF(G57="","Assign owner","Review evidence"))</x:f>
        <x:v>Assign owner</x:v>
      </x:c>
      <x:c r="K57" s="1"/>
    </x:row>
    <x:row r="58" ht="42" customHeight="1">
      <x:c r="A58" s="18" t="str">
        <x:v>1035184</x:v>
      </x:c>
      <x:c r="B58" s="19" t="str">
        <x:v>Debt collection</x:v>
      </x:c>
      <x:c r="C58" s="19" t="str">
        <x:v>2014-09-18</x:v>
      </x:c>
      <x:c r="D58" s="19" t="str">
        <x:v>2016-04-25</x:v>
      </x:c>
      <x:c r="E58" s="19" t="n">
        <x:v>585</x:v>
      </x:c>
      <x:c r="F58" s="19" t="str">
        <x:v>Routing review; Source timely=No</x:v>
      </x:c>
      <x:c r="G58" s="17" t="str"/>
      <x:c r="H58" s="17" t="str">
        <x:v>Not started</x:v>
      </x:c>
      <x:c r="I58" s="17" t="str"/>
      <x:c r="J58" s="19" t="str">
        <x:f>IF(H58="Resolved",IF(AND(G58&lt;&gt;"",I58&lt;&gt;""),"Complete","Add owner and note"),IF(G58="","Assign owner","Review evidence"))</x:f>
        <x:v>Assign owner</x:v>
      </x:c>
      <x:c r="K58" s="1"/>
    </x:row>
    <x:row r="59" ht="42" customHeight="1">
      <x:c r="A59" s="18" t="str">
        <x:v>57619</x:v>
      </x:c>
      <x:c r="B59" s="19" t="str">
        <x:v>Bank account or service</x:v>
      </x:c>
      <x:c r="C59" s="19" t="str">
        <x:v>2012-04-13</x:v>
      </x:c>
      <x:c r="D59" s="19" t="str">
        <x:v>2013-11-18</x:v>
      </x:c>
      <x:c r="E59" s="19" t="n">
        <x:v>584</x:v>
      </x:c>
      <x:c r="F59" s="19" t="str">
        <x:v>Routing review</x:v>
      </x:c>
      <x:c r="G59" s="17" t="str"/>
      <x:c r="H59" s="17" t="str">
        <x:v>Not started</x:v>
      </x:c>
      <x:c r="I59" s="17" t="str"/>
      <x:c r="J59" s="19" t="str">
        <x:f>IF(H59="Resolved",IF(AND(G59&lt;&gt;"",I59&lt;&gt;""),"Complete","Add owner and note"),IF(G59="","Assign owner","Review evidence"))</x:f>
        <x:v>Assign owner</x:v>
      </x:c>
      <x:c r="K59" s="1"/>
    </x:row>
    <x:row r="60" ht="42" customHeight="1">
      <x:c r="A60" s="18" t="str">
        <x:v>35761</x:v>
      </x:c>
      <x:c r="B60" s="19" t="str">
        <x:v>Bank account or service</x:v>
      </x:c>
      <x:c r="C60" s="19" t="str">
        <x:v>2012-03-15</x:v>
      </x:c>
      <x:c r="D60" s="19" t="str">
        <x:v>2013-10-18</x:v>
      </x:c>
      <x:c r="E60" s="19" t="n">
        <x:v>582</x:v>
      </x:c>
      <x:c r="F60" s="19" t="str">
        <x:v>Routing review</x:v>
      </x:c>
      <x:c r="G60" s="17" t="str"/>
      <x:c r="H60" s="17" t="str">
        <x:v>Not started</x:v>
      </x:c>
      <x:c r="I60" s="17" t="str"/>
      <x:c r="J60" s="19" t="str">
        <x:f>IF(H60="Resolved",IF(AND(G60&lt;&gt;"",I60&lt;&gt;""),"Complete","Add owner and note"),IF(G60="","Assign owner","Review evidence"))</x:f>
        <x:v>Assign owner</x:v>
      </x:c>
      <x:c r="K60" s="1"/>
    </x:row>
    <x:row r="61" ht="42" customHeight="1">
      <x:c r="A61" s="18" t="str">
        <x:v>60577</x:v>
      </x:c>
      <x:c r="B61" s="19" t="str">
        <x:v>Mortgage</x:v>
      </x:c>
      <x:c r="C61" s="19" t="str">
        <x:v>2012-04-18</x:v>
      </x:c>
      <x:c r="D61" s="19" t="str">
        <x:v>2013-11-18</x:v>
      </x:c>
      <x:c r="E61" s="19" t="n">
        <x:v>579</x:v>
      </x:c>
      <x:c r="F61" s="19" t="str">
        <x:v>Routing review</x:v>
      </x:c>
      <x:c r="G61" s="17" t="str"/>
      <x:c r="H61" s="17" t="str">
        <x:v>Not started</x:v>
      </x:c>
      <x:c r="I61" s="17" t="str"/>
      <x:c r="J61" s="19" t="str">
        <x:f>IF(H61="Resolved",IF(AND(G61&lt;&gt;"",I61&lt;&gt;""),"Complete","Add owner and note"),IF(G61="","Assign owner","Review evidence"))</x:f>
        <x:v>Assign owner</x:v>
      </x:c>
      <x:c r="K61" s="1"/>
    </x:row>
    <x:row r="62" ht="42" customHeight="1">
      <x:c r="A62" s="18" t="str">
        <x:v>107704</x:v>
      </x:c>
      <x:c r="B62" s="19" t="str">
        <x:v>Mortgage</x:v>
      </x:c>
      <x:c r="C62" s="19" t="str">
        <x:v>2012-06-25</x:v>
      </x:c>
      <x:c r="D62" s="19" t="str">
        <x:v>2014-01-24</x:v>
      </x:c>
      <x:c r="E62" s="19" t="n">
        <x:v>578</x:v>
      </x:c>
      <x:c r="F62" s="19" t="str">
        <x:v>Routing review</x:v>
      </x:c>
      <x:c r="G62" s="17" t="str"/>
      <x:c r="H62" s="17" t="str">
        <x:v>Not started</x:v>
      </x:c>
      <x:c r="I62" s="17" t="str"/>
      <x:c r="J62" s="19" t="str">
        <x:f>IF(H62="Resolved",IF(AND(G62&lt;&gt;"",I62&lt;&gt;""),"Complete","Add owner and note"),IF(G62="","Assign owner","Review evidence"))</x:f>
        <x:v>Assign owner</x:v>
      </x:c>
      <x:c r="K62" s="1"/>
    </x:row>
    <x:row r="63" ht="42" customHeight="1">
      <x:c r="A63" s="18" t="str">
        <x:v>61427</x:v>
      </x:c>
      <x:c r="B63" s="19" t="str">
        <x:v>Mortgage</x:v>
      </x:c>
      <x:c r="C63" s="19" t="str">
        <x:v>2012-04-19</x:v>
      </x:c>
      <x:c r="D63" s="19" t="str">
        <x:v>2013-11-18</x:v>
      </x:c>
      <x:c r="E63" s="19" t="n">
        <x:v>578</x:v>
      </x:c>
      <x:c r="F63" s="19" t="str">
        <x:v>Routing review</x:v>
      </x:c>
      <x:c r="G63" s="17" t="str"/>
      <x:c r="H63" s="17" t="str">
        <x:v>Not started</x:v>
      </x:c>
      <x:c r="I63" s="17" t="str"/>
      <x:c r="J63" s="19" t="str">
        <x:f>IF(H63="Resolved",IF(AND(G63&lt;&gt;"",I63&lt;&gt;""),"Complete","Add owner and note"),IF(G63="","Assign owner","Review evidence"))</x:f>
        <x:v>Assign owner</x:v>
      </x:c>
      <x:c r="K63" s="1"/>
    </x:row>
    <x:row r="64" ht="42" customHeight="1">
      <x:c r="A64" s="18" t="str">
        <x:v>62499</x:v>
      </x:c>
      <x:c r="B64" s="19" t="str">
        <x:v>Mortgage</x:v>
      </x:c>
      <x:c r="C64" s="19" t="str">
        <x:v>2012-04-20</x:v>
      </x:c>
      <x:c r="D64" s="19" t="str">
        <x:v>2013-11-18</x:v>
      </x:c>
      <x:c r="E64" s="19" t="n">
        <x:v>577</x:v>
      </x:c>
      <x:c r="F64" s="19" t="str">
        <x:v>Routing review</x:v>
      </x:c>
      <x:c r="G64" s="17" t="str"/>
      <x:c r="H64" s="17" t="str">
        <x:v>Not started</x:v>
      </x:c>
      <x:c r="I64" s="17" t="str"/>
      <x:c r="J64" s="19" t="str">
        <x:f>IF(H64="Resolved",IF(AND(G64&lt;&gt;"",I64&lt;&gt;""),"Complete","Add owner and note"),IF(G64="","Assign owner","Review evidence"))</x:f>
        <x:v>Assign owner</x:v>
      </x:c>
      <x:c r="K64" s="1"/>
    </x:row>
    <x:row r="65" ht="42" customHeight="1">
      <x:c r="A65" s="18" t="str">
        <x:v>38035</x:v>
      </x:c>
      <x:c r="B65" s="19" t="str">
        <x:v>Mortgage</x:v>
      </x:c>
      <x:c r="C65" s="19" t="str">
        <x:v>2012-03-21</x:v>
      </x:c>
      <x:c r="D65" s="19" t="str">
        <x:v>2013-10-18</x:v>
      </x:c>
      <x:c r="E65" s="19" t="n">
        <x:v>576</x:v>
      </x:c>
      <x:c r="F65" s="19" t="str">
        <x:v>Routing review</x:v>
      </x:c>
      <x:c r="G65" s="17" t="str"/>
      <x:c r="H65" s="17" t="str">
        <x:v>Not started</x:v>
      </x:c>
      <x:c r="I65" s="17" t="str"/>
      <x:c r="J65" s="19" t="str">
        <x:f>IF(H65="Resolved",IF(AND(G65&lt;&gt;"",I65&lt;&gt;""),"Complete","Add owner and note"),IF(G65="","Assign owner","Review evidence"))</x:f>
        <x:v>Assign owner</x:v>
      </x:c>
      <x:c r="K65" s="1"/>
    </x:row>
    <x:row r="66" ht="42" customHeight="1">
      <x:c r="A66" s="18" t="str">
        <x:v>39831</x:v>
      </x:c>
      <x:c r="B66" s="19" t="str">
        <x:v>Credit card</x:v>
      </x:c>
      <x:c r="C66" s="19" t="str">
        <x:v>2012-03-22</x:v>
      </x:c>
      <x:c r="D66" s="19" t="str">
        <x:v>2013-10-18</x:v>
      </x:c>
      <x:c r="E66" s="19" t="n">
        <x:v>575</x:v>
      </x:c>
      <x:c r="F66" s="19" t="str">
        <x:v>Routing review</x:v>
      </x:c>
      <x:c r="G66" s="17" t="str"/>
      <x:c r="H66" s="17" t="str">
        <x:v>Not started</x:v>
      </x:c>
      <x:c r="I66" s="17" t="str"/>
      <x:c r="J66" s="19" t="str">
        <x:f>IF(H66="Resolved",IF(AND(G66&lt;&gt;"",I66&lt;&gt;""),"Complete","Add owner and note"),IF(G66="","Assign owner","Review evidence"))</x:f>
        <x:v>Assign owner</x:v>
      </x:c>
      <x:c r="K66" s="1"/>
    </x:row>
    <x:row r="67" ht="42" customHeight="1">
      <x:c r="A67" s="18" t="str">
        <x:v>1143469</x:v>
      </x:c>
      <x:c r="B67" s="19" t="str">
        <x:v>Debt collection</x:v>
      </x:c>
      <x:c r="C67" s="19" t="str">
        <x:v>2014-12-04</x:v>
      </x:c>
      <x:c r="D67" s="19" t="str">
        <x:v>2016-06-29</x:v>
      </x:c>
      <x:c r="E67" s="19" t="n">
        <x:v>573</x:v>
      </x:c>
      <x:c r="F67" s="19" t="str">
        <x:v>Routing review; Source timely=No</x:v>
      </x:c>
      <x:c r="G67" s="17" t="str"/>
      <x:c r="H67" s="17" t="str">
        <x:v>Not started</x:v>
      </x:c>
      <x:c r="I67" s="17" t="str"/>
      <x:c r="J67" s="19" t="str">
        <x:f>IF(H67="Resolved",IF(AND(G67&lt;&gt;"",I67&lt;&gt;""),"Complete","Add owner and note"),IF(G67="","Assign owner","Review evidence"))</x:f>
        <x:v>Assign owner</x:v>
      </x:c>
      <x:c r="K67" s="1"/>
    </x:row>
    <x:row r="68" ht="42" customHeight="1">
      <x:c r="A68" s="18" t="str">
        <x:v>68645</x:v>
      </x:c>
      <x:c r="B68" s="19" t="str">
        <x:v>Bank account or service</x:v>
      </x:c>
      <x:c r="C68" s="19" t="str">
        <x:v>2012-05-01</x:v>
      </x:c>
      <x:c r="D68" s="19" t="str">
        <x:v>2013-11-25</x:v>
      </x:c>
      <x:c r="E68" s="19" t="n">
        <x:v>573</x:v>
      </x:c>
      <x:c r="F68" s="19" t="str">
        <x:v>Routing review</x:v>
      </x:c>
      <x:c r="G68" s="17" t="str"/>
      <x:c r="H68" s="17" t="str">
        <x:v>Not started</x:v>
      </x:c>
      <x:c r="I68" s="17" t="str"/>
      <x:c r="J68" s="19" t="str">
        <x:f>IF(H68="Resolved",IF(AND(G68&lt;&gt;"",I68&lt;&gt;""),"Complete","Add owner and note"),IF(G68="","Assign owner","Review evidence"))</x:f>
        <x:v>Assign owner</x:v>
      </x:c>
      <x:c r="K68" s="1"/>
    </x:row>
    <x:row r="69" ht="42" customHeight="1">
      <x:c r="A69" s="18" t="str">
        <x:v>792262</x:v>
      </x:c>
      <x:c r="B69" s="19" t="str">
        <x:v>Debt collection</x:v>
      </x:c>
      <x:c r="C69" s="19" t="str">
        <x:v>2014-04-03</x:v>
      </x:c>
      <x:c r="D69" s="19" t="str">
        <x:v>2015-10-27</x:v>
      </x:c>
      <x:c r="E69" s="19" t="n">
        <x:v>572</x:v>
      </x:c>
      <x:c r="F69" s="19" t="str">
        <x:v>Routing review; Source timely=No</x:v>
      </x:c>
      <x:c r="G69" s="17" t="str"/>
      <x:c r="H69" s="17" t="str">
        <x:v>Not started</x:v>
      </x:c>
      <x:c r="I69" s="17" t="str"/>
      <x:c r="J69" s="19" t="str">
        <x:f>IF(H69="Resolved",IF(AND(G69&lt;&gt;"",I69&lt;&gt;""),"Complete","Add owner and note"),IF(G69="","Assign owner","Review evidence"))</x:f>
        <x:v>Assign owner</x:v>
      </x:c>
      <x:c r="K69" s="1"/>
    </x:row>
    <x:row r="70" ht="42" customHeight="1">
      <x:c r="A70" s="18" t="str">
        <x:v>655751</x:v>
      </x:c>
      <x:c r="B70" s="19" t="str">
        <x:v>Debt collection</x:v>
      </x:c>
      <x:c r="C70" s="19" t="str">
        <x:v>2014-01-06</x:v>
      </x:c>
      <x:c r="D70" s="19" t="str">
        <x:v>2015-07-31</x:v>
      </x:c>
      <x:c r="E70" s="19" t="n">
        <x:v>571</x:v>
      </x:c>
      <x:c r="F70" s="19" t="str">
        <x:v>Routing review</x:v>
      </x:c>
      <x:c r="G70" s="17" t="str"/>
      <x:c r="H70" s="17" t="str">
        <x:v>Not started</x:v>
      </x:c>
      <x:c r="I70" s="17" t="str"/>
      <x:c r="J70" s="19" t="str">
        <x:f>IF(H70="Resolved",IF(AND(G70&lt;&gt;"",I70&lt;&gt;""),"Complete","Add owner and note"),IF(G70="","Assign owner","Review evidence"))</x:f>
        <x:v>Assign owner</x:v>
      </x:c>
      <x:c r="K70" s="1"/>
    </x:row>
    <x:row r="71" ht="42" customHeight="1">
      <x:c r="A71" s="18" t="str">
        <x:v>66079</x:v>
      </x:c>
      <x:c r="B71" s="19" t="str">
        <x:v>Mortgage</x:v>
      </x:c>
      <x:c r="C71" s="19" t="str">
        <x:v>2012-04-26</x:v>
      </x:c>
      <x:c r="D71" s="19" t="str">
        <x:v>2013-11-18</x:v>
      </x:c>
      <x:c r="E71" s="19" t="n">
        <x:v>571</x:v>
      </x:c>
      <x:c r="F71" s="19" t="str">
        <x:v>Routing review</x:v>
      </x:c>
      <x:c r="G71" s="17" t="str"/>
      <x:c r="H71" s="17" t="str">
        <x:v>Not started</x:v>
      </x:c>
      <x:c r="I71" s="17" t="str"/>
      <x:c r="J71" s="19" t="str">
        <x:f>IF(H71="Resolved",IF(AND(G71&lt;&gt;"",I71&lt;&gt;""),"Complete","Add owner and note"),IF(G71="","Assign owner","Review evidence"))</x:f>
        <x:v>Assign owner</x:v>
      </x:c>
      <x:c r="K71" s="1"/>
    </x:row>
    <x:row r="72" ht="42" customHeight="1">
      <x:c r="A72" s="18" t="str">
        <x:v>1177352</x:v>
      </x:c>
      <x:c r="B72" s="19" t="str">
        <x:v>Debt collection</x:v>
      </x:c>
      <x:c r="C72" s="19" t="str">
        <x:v>2014-12-31</x:v>
      </x:c>
      <x:c r="D72" s="19" t="str">
        <x:v>2016-07-21</x:v>
      </x:c>
      <x:c r="E72" s="19" t="n">
        <x:v>568</x:v>
      </x:c>
      <x:c r="F72" s="19" t="str">
        <x:v>Routing review</x:v>
      </x:c>
      <x:c r="G72" s="17" t="str"/>
      <x:c r="H72" s="17" t="str">
        <x:v>Not started</x:v>
      </x:c>
      <x:c r="I72" s="17" t="str"/>
      <x:c r="J72" s="19" t="str">
        <x:f>IF(H72="Resolved",IF(AND(G72&lt;&gt;"",I72&lt;&gt;""),"Complete","Add owner and note"),IF(G72="","Assign owner","Review evidence"))</x:f>
        <x:v>Assign owner</x:v>
      </x:c>
      <x:c r="K72" s="1"/>
    </x:row>
    <x:row r="73" ht="42" customHeight="1">
      <x:c r="A73" s="18" t="str">
        <x:v>1065650</x:v>
      </x:c>
      <x:c r="B73" s="19" t="str">
        <x:v>Debt collection</x:v>
      </x:c>
      <x:c r="C73" s="19" t="str">
        <x:v>2014-10-09</x:v>
      </x:c>
      <x:c r="D73" s="19" t="str">
        <x:v>2016-04-25</x:v>
      </x:c>
      <x:c r="E73" s="19" t="n">
        <x:v>564</x:v>
      </x:c>
      <x:c r="F73" s="19" t="str">
        <x:v>Routing review; Source timely=No</x:v>
      </x:c>
      <x:c r="G73" s="17" t="str"/>
      <x:c r="H73" s="17" t="str">
        <x:v>Not started</x:v>
      </x:c>
      <x:c r="I73" s="17" t="str"/>
      <x:c r="J73" s="19" t="str">
        <x:f>IF(H73="Resolved",IF(AND(G73&lt;&gt;"",I73&lt;&gt;""),"Complete","Add owner and note"),IF(G73="","Assign owner","Review evidence"))</x:f>
        <x:v>Assign owner</x:v>
      </x:c>
      <x:c r="K73" s="1"/>
    </x:row>
    <x:row r="74" ht="42" customHeight="1">
      <x:c r="A74" s="18" t="str">
        <x:v>1250855</x:v>
      </x:c>
      <x:c r="B74" s="19" t="str">
        <x:v>Debt collection</x:v>
      </x:c>
      <x:c r="C74" s="19" t="str">
        <x:v>2015-02-21</x:v>
      </x:c>
      <x:c r="D74" s="19" t="str">
        <x:v>2016-09-02</x:v>
      </x:c>
      <x:c r="E74" s="19" t="n">
        <x:v>559</x:v>
      </x:c>
      <x:c r="F74" s="19" t="str">
        <x:v>Routing review</x:v>
      </x:c>
      <x:c r="G74" s="17" t="str"/>
      <x:c r="H74" s="17" t="str">
        <x:v>Not started</x:v>
      </x:c>
      <x:c r="I74" s="17" t="str"/>
      <x:c r="J74" s="19" t="str">
        <x:f>IF(H74="Resolved",IF(AND(G74&lt;&gt;"",I74&lt;&gt;""),"Complete","Add owner and note"),IF(G74="","Assign owner","Review evidence"))</x:f>
        <x:v>Assign owner</x:v>
      </x:c>
      <x:c r="K74" s="1"/>
    </x:row>
    <x:row r="75" ht="42" customHeight="1">
      <x:c r="A75" s="18" t="str">
        <x:v>1615753</x:v>
      </x:c>
      <x:c r="B75" s="19" t="str">
        <x:v>Debt collection</x:v>
      </x:c>
      <x:c r="C75" s="19" t="str">
        <x:v>2015-10-20</x:v>
      </x:c>
      <x:c r="D75" s="19" t="str">
        <x:v>2017-04-24</x:v>
      </x:c>
      <x:c r="E75" s="19" t="n">
        <x:v>552</x:v>
      </x:c>
      <x:c r="F75" s="19" t="str">
        <x:v>Routing review</x:v>
      </x:c>
      <x:c r="G75" s="17" t="str"/>
      <x:c r="H75" s="17" t="str">
        <x:v>Not started</x:v>
      </x:c>
      <x:c r="I75" s="17" t="str"/>
      <x:c r="J75" s="19" t="str">
        <x:f>IF(H75="Resolved",IF(AND(G75&lt;&gt;"",I75&lt;&gt;""),"Complete","Add owner and note"),IF(G75="","Assign owner","Review evidence"))</x:f>
        <x:v>Assign owner</x:v>
      </x:c>
      <x:c r="K75" s="1"/>
    </x:row>
    <x:row r="76" ht="42" customHeight="1">
      <x:c r="A76" s="18" t="str">
        <x:v>1081535</x:v>
      </x:c>
      <x:c r="B76" s="19" t="str">
        <x:v>Debt collection</x:v>
      </x:c>
      <x:c r="C76" s="19" t="str">
        <x:v>2014-10-22</x:v>
      </x:c>
      <x:c r="D76" s="19" t="str">
        <x:v>2016-04-25</x:v>
      </x:c>
      <x:c r="E76" s="19" t="n">
        <x:v>551</x:v>
      </x:c>
      <x:c r="F76" s="19" t="str">
        <x:v>Routing review; Source timely=No</x:v>
      </x:c>
      <x:c r="G76" s="17" t="str"/>
      <x:c r="H76" s="17" t="str">
        <x:v>Not started</x:v>
      </x:c>
      <x:c r="I76" s="17" t="str"/>
      <x:c r="J76" s="19" t="str">
        <x:f>IF(H76="Resolved",IF(AND(G76&lt;&gt;"",I76&lt;&gt;""),"Complete","Add owner and note"),IF(G76="","Assign owner","Review evidence"))</x:f>
        <x:v>Assign owner</x:v>
      </x:c>
      <x:c r="K76" s="1"/>
    </x:row>
    <x:row r="77" ht="42" customHeight="1">
      <x:c r="A77" s="18" t="str">
        <x:v>101706</x:v>
      </x:c>
      <x:c r="B77" s="19" t="str">
        <x:v>Mortgage</x:v>
      </x:c>
      <x:c r="C77" s="19" t="str">
        <x:v>2012-06-14</x:v>
      </x:c>
      <x:c r="D77" s="19" t="str">
        <x:v>2013-12-11</x:v>
      </x:c>
      <x:c r="E77" s="19" t="n">
        <x:v>545</x:v>
      </x:c>
      <x:c r="F77" s="19" t="str">
        <x:v>Routing review</x:v>
      </x:c>
      <x:c r="G77" s="17" t="str"/>
      <x:c r="H77" s="17" t="str">
        <x:v>Not started</x:v>
      </x:c>
      <x:c r="I77" s="17" t="str"/>
      <x:c r="J77" s="19" t="str">
        <x:f>IF(H77="Resolved",IF(AND(G77&lt;&gt;"",I77&lt;&gt;""),"Complete","Add owner and note"),IF(G77="","Assign owner","Review evidence"))</x:f>
        <x:v>Assign owner</x:v>
      </x:c>
      <x:c r="K77" s="1"/>
    </x:row>
    <x:row r="78" ht="42" customHeight="1">
      <x:c r="A78" s="18" t="str">
        <x:v>65002</x:v>
      </x:c>
      <x:c r="B78" s="19" t="str">
        <x:v>Credit card</x:v>
      </x:c>
      <x:c r="C78" s="19" t="str">
        <x:v>2012-04-25</x:v>
      </x:c>
      <x:c r="D78" s="19" t="str">
        <x:v>2013-10-18</x:v>
      </x:c>
      <x:c r="E78" s="19" t="n">
        <x:v>541</x:v>
      </x:c>
      <x:c r="F78" s="19" t="str">
        <x:v>Routing review</x:v>
      </x:c>
      <x:c r="G78" s="17" t="str"/>
      <x:c r="H78" s="17" t="str">
        <x:v>Not started</x:v>
      </x:c>
      <x:c r="I78" s="17" t="str"/>
      <x:c r="J78" s="19" t="str">
        <x:f>IF(H78="Resolved",IF(AND(G78&lt;&gt;"",I78&lt;&gt;""),"Complete","Add owner and note"),IF(G78="","Assign owner","Review evidence"))</x:f>
        <x:v>Assign owner</x:v>
      </x:c>
      <x:c r="K78" s="1"/>
    </x:row>
    <x:row r="79" ht="42" customHeight="1">
      <x:c r="A79" s="18" t="str">
        <x:v>542196</x:v>
      </x:c>
      <x:c r="B79" s="19" t="str">
        <x:v>Debt collection</x:v>
      </x:c>
      <x:c r="C79" s="19" t="str">
        <x:v>2013-09-25</x:v>
      </x:c>
      <x:c r="D79" s="19" t="str">
        <x:v>2015-03-19</x:v>
      </x:c>
      <x:c r="E79" s="19" t="n">
        <x:v>540</x:v>
      </x:c>
      <x:c r="F79" s="19" t="str">
        <x:v>Routing review</x:v>
      </x:c>
      <x:c r="G79" s="17" t="str"/>
      <x:c r="H79" s="17" t="str">
        <x:v>Not started</x:v>
      </x:c>
      <x:c r="I79" s="17" t="str"/>
      <x:c r="J79" s="19" t="str">
        <x:f>IF(H79="Resolved",IF(AND(G79&lt;&gt;"",I79&lt;&gt;""),"Complete","Add owner and note"),IF(G79="","Assign owner","Review evidence"))</x:f>
        <x:v>Assign owner</x:v>
      </x:c>
      <x:c r="K79" s="1"/>
    </x:row>
    <x:row r="80" ht="42" customHeight="1">
      <x:c r="A80" s="18" t="str">
        <x:v>1359608</x:v>
      </x:c>
      <x:c r="B80" s="19" t="str">
        <x:v>Debt collection</x:v>
      </x:c>
      <x:c r="C80" s="19" t="str">
        <x:v>2015-05-04</x:v>
      </x:c>
      <x:c r="D80" s="19" t="str">
        <x:v>2016-10-24</x:v>
      </x:c>
      <x:c r="E80" s="19" t="n">
        <x:v>539</x:v>
      </x:c>
      <x:c r="F80" s="19" t="str">
        <x:v>Routing review</x:v>
      </x:c>
      <x:c r="G80" s="17" t="str"/>
      <x:c r="H80" s="17" t="str">
        <x:v>Not started</x:v>
      </x:c>
      <x:c r="I80" s="17" t="str"/>
      <x:c r="J80" s="19" t="str">
        <x:f>IF(H80="Resolved",IF(AND(G80&lt;&gt;"",I80&lt;&gt;""),"Complete","Add owner and note"),IF(G80="","Assign owner","Review evidence"))</x:f>
        <x:v>Assign owner</x:v>
      </x:c>
      <x:c r="K80" s="1"/>
    </x:row>
    <x:row r="81" ht="42" customHeight="1">
      <x:c r="A81" s="18" t="str">
        <x:v>1104370</x:v>
      </x:c>
      <x:c r="B81" s="19" t="str">
        <x:v>Debt collection</x:v>
      </x:c>
      <x:c r="C81" s="19" t="str">
        <x:v>2014-11-06</x:v>
      </x:c>
      <x:c r="D81" s="19" t="str">
        <x:v>2016-04-25</x:v>
      </x:c>
      <x:c r="E81" s="19" t="n">
        <x:v>536</x:v>
      </x:c>
      <x:c r="F81" s="19" t="str">
        <x:v>Routing review; Source timely=No</x:v>
      </x:c>
      <x:c r="G81" s="17" t="str"/>
      <x:c r="H81" s="17" t="str">
        <x:v>Not started</x:v>
      </x:c>
      <x:c r="I81" s="17" t="str"/>
      <x:c r="J81" s="19" t="str">
        <x:f>IF(H81="Resolved",IF(AND(G81&lt;&gt;"",I81&lt;&gt;""),"Complete","Add owner and note"),IF(G81="","Assign owner","Review evidence"))</x:f>
        <x:v>Assign owner</x:v>
      </x:c>
      <x:c r="K81" s="1"/>
    </x:row>
    <x:row r="82" ht="42" customHeight="1">
      <x:c r="A82" s="18" t="str">
        <x:v>1106087</x:v>
      </x:c>
      <x:c r="B82" s="19" t="str">
        <x:v>Debt collection</x:v>
      </x:c>
      <x:c r="C82" s="19" t="str">
        <x:v>2014-11-06</x:v>
      </x:c>
      <x:c r="D82" s="19" t="str">
        <x:v>2016-04-25</x:v>
      </x:c>
      <x:c r="E82" s="19" t="n">
        <x:v>536</x:v>
      </x:c>
      <x:c r="F82" s="19" t="str">
        <x:v>Routing review; Source timely=No</x:v>
      </x:c>
      <x:c r="G82" s="17" t="str"/>
      <x:c r="H82" s="17" t="str">
        <x:v>Not started</x:v>
      </x:c>
      <x:c r="I82" s="17" t="str"/>
      <x:c r="J82" s="19" t="str">
        <x:f>IF(H82="Resolved",IF(AND(G82&lt;&gt;"",I82&lt;&gt;""),"Complete","Add owner and note"),IF(G82="","Assign owner","Review evidence"))</x:f>
        <x:v>Assign owner</x:v>
      </x:c>
      <x:c r="K82" s="1"/>
    </x:row>
    <x:row r="83" ht="42" customHeight="1">
      <x:c r="A83" s="18" t="str">
        <x:v>1111143</x:v>
      </x:c>
      <x:c r="B83" s="19" t="str">
        <x:v>Debt collection</x:v>
      </x:c>
      <x:c r="C83" s="19" t="str">
        <x:v>2014-11-11</x:v>
      </x:c>
      <x:c r="D83" s="19" t="str">
        <x:v>2016-04-25</x:v>
      </x:c>
      <x:c r="E83" s="19" t="n">
        <x:v>531</x:v>
      </x:c>
      <x:c r="F83" s="19" t="str">
        <x:v>Routing review; Source timely=No</x:v>
      </x:c>
      <x:c r="G83" s="17" t="str"/>
      <x:c r="H83" s="17" t="str">
        <x:v>Not started</x:v>
      </x:c>
      <x:c r="I83" s="17" t="str"/>
      <x:c r="J83" s="19" t="str">
        <x:f>IF(H83="Resolved",IF(AND(G83&lt;&gt;"",I83&lt;&gt;""),"Complete","Add owner and note"),IF(G83="","Assign owner","Review evidence"))</x:f>
        <x:v>Assign owner</x:v>
      </x:c>
      <x:c r="K83" s="1"/>
    </x:row>
    <x:row r="84" ht="42" customHeight="1">
      <x:c r="A84" s="18" t="str">
        <x:v>1119652</x:v>
      </x:c>
      <x:c r="B84" s="19" t="str">
        <x:v>Debt collection</x:v>
      </x:c>
      <x:c r="C84" s="19" t="str">
        <x:v>2014-11-17</x:v>
      </x:c>
      <x:c r="D84" s="19" t="str">
        <x:v>2016-04-25</x:v>
      </x:c>
      <x:c r="E84" s="19" t="n">
        <x:v>525</x:v>
      </x:c>
      <x:c r="F84" s="19" t="str">
        <x:v>Routing review; Source timely=No</x:v>
      </x:c>
      <x:c r="G84" s="17" t="str"/>
      <x:c r="H84" s="17" t="str">
        <x:v>Not started</x:v>
      </x:c>
      <x:c r="I84" s="17" t="str"/>
      <x:c r="J84" s="19" t="str">
        <x:f>IF(H84="Resolved",IF(AND(G84&lt;&gt;"",I84&lt;&gt;""),"Complete","Add owner and note"),IF(G84="","Assign owner","Review evidence"))</x:f>
        <x:v>Assign owner</x:v>
      </x:c>
      <x:c r="K84" s="1"/>
    </x:row>
    <x:row r="85" ht="42" customHeight="1">
      <x:c r="A85" s="18" t="str">
        <x:v>99999</x:v>
      </x:c>
      <x:c r="B85" s="19" t="str">
        <x:v>Bank account or service</x:v>
      </x:c>
      <x:c r="C85" s="19" t="str">
        <x:v>2012-06-12</x:v>
      </x:c>
      <x:c r="D85" s="19" t="str">
        <x:v>2013-11-18</x:v>
      </x:c>
      <x:c r="E85" s="19" t="n">
        <x:v>524</x:v>
      </x:c>
      <x:c r="F85" s="19" t="str">
        <x:v>Routing review</x:v>
      </x:c>
      <x:c r="G85" s="17" t="str"/>
      <x:c r="H85" s="17" t="str">
        <x:v>Not started</x:v>
      </x:c>
      <x:c r="I85" s="17" t="str"/>
      <x:c r="J85" s="19" t="str">
        <x:f>IF(H85="Resolved",IF(AND(G85&lt;&gt;"",I85&lt;&gt;""),"Complete","Add owner and note"),IF(G85="","Assign owner","Review evidence"))</x:f>
        <x:v>Assign owner</x:v>
      </x:c>
      <x:c r="K85" s="1"/>
    </x:row>
    <x:row r="86" ht="42" customHeight="1">
      <x:c r="A86" s="18" t="str">
        <x:v>462401</x:v>
      </x:c>
      <x:c r="B86" s="19" t="str">
        <x:v>Mortgage</x:v>
      </x:c>
      <x:c r="C86" s="19" t="str">
        <x:v>2013-07-21</x:v>
      </x:c>
      <x:c r="D86" s="19" t="str">
        <x:v>2014-12-23</x:v>
      </x:c>
      <x:c r="E86" s="19" t="n">
        <x:v>520</x:v>
      </x:c>
      <x:c r="F86" s="19" t="str">
        <x:v>Routing review</x:v>
      </x:c>
      <x:c r="G86" s="17" t="str"/>
      <x:c r="H86" s="17" t="str">
        <x:v>Not started</x:v>
      </x:c>
      <x:c r="I86" s="17" t="str"/>
      <x:c r="J86" s="19" t="str">
        <x:f>IF(H86="Resolved",IF(AND(G86&lt;&gt;"",I86&lt;&gt;""),"Complete","Add owner and note"),IF(G86="","Assign owner","Review evidence"))</x:f>
        <x:v>Assign owner</x:v>
      </x:c>
      <x:c r="K86" s="1"/>
    </x:row>
    <x:row r="87" ht="42" customHeight="1">
      <x:c r="A87" s="18" t="str">
        <x:v>1307979</x:v>
      </x:c>
      <x:c r="B87" s="19" t="str">
        <x:v>Debt collection</x:v>
      </x:c>
      <x:c r="C87" s="19" t="str">
        <x:v>2015-03-31</x:v>
      </x:c>
      <x:c r="D87" s="19" t="str">
        <x:v>2016-08-26</x:v>
      </x:c>
      <x:c r="E87" s="19" t="n">
        <x:v>514</x:v>
      </x:c>
      <x:c r="F87" s="19" t="str">
        <x:v>Routing review</x:v>
      </x:c>
      <x:c r="G87" s="17" t="str"/>
      <x:c r="H87" s="17" t="str">
        <x:v>Not started</x:v>
      </x:c>
      <x:c r="I87" s="17" t="str"/>
      <x:c r="J87" s="19" t="str">
        <x:f>IF(H87="Resolved",IF(AND(G87&lt;&gt;"",I87&lt;&gt;""),"Complete","Add owner and note"),IF(G87="","Assign owner","Review evidence"))</x:f>
        <x:v>Assign owner</x:v>
      </x:c>
      <x:c r="K87" s="1"/>
    </x:row>
    <x:row r="88" ht="42" customHeight="1">
      <x:c r="A88" s="18" t="str">
        <x:v>267477</x:v>
      </x:c>
      <x:c r="B88" s="19" t="str">
        <x:v>Mortgage</x:v>
      </x:c>
      <x:c r="C88" s="19" t="str">
        <x:v>2013-01-28</x:v>
      </x:c>
      <x:c r="D88" s="19" t="str">
        <x:v>2014-06-23</x:v>
      </x:c>
      <x:c r="E88" s="19" t="n">
        <x:v>511</x:v>
      </x:c>
      <x:c r="F88" s="19" t="str">
        <x:v>Routing review</x:v>
      </x:c>
      <x:c r="G88" s="17" t="str"/>
      <x:c r="H88" s="17" t="str">
        <x:v>Not started</x:v>
      </x:c>
      <x:c r="I88" s="17" t="str"/>
      <x:c r="J88" s="19" t="str">
        <x:f>IF(H88="Resolved",IF(AND(G88&lt;&gt;"",I88&lt;&gt;""),"Complete","Add owner and note"),IF(G88="","Assign owner","Review evidence"))</x:f>
        <x:v>Assign owner</x:v>
      </x:c>
      <x:c r="K88" s="1"/>
    </x:row>
    <x:row r="89" ht="42" customHeight="1">
      <x:c r="A89" s="18" t="str">
        <x:v>1174486</x:v>
      </x:c>
      <x:c r="B89" s="19" t="str">
        <x:v>Debt collection</x:v>
      </x:c>
      <x:c r="C89" s="19" t="str">
        <x:v>2014-12-30</x:v>
      </x:c>
      <x:c r="D89" s="19" t="str">
        <x:v>2016-05-23</x:v>
      </x:c>
      <x:c r="E89" s="19" t="n">
        <x:v>510</x:v>
      </x:c>
      <x:c r="F89" s="19" t="str">
        <x:v>Routing review</x:v>
      </x:c>
      <x:c r="G89" s="17" t="str"/>
      <x:c r="H89" s="17" t="str">
        <x:v>Not started</x:v>
      </x:c>
      <x:c r="I89" s="17" t="str"/>
      <x:c r="J89" s="19" t="str">
        <x:f>IF(H89="Resolved",IF(AND(G89&lt;&gt;"",I89&lt;&gt;""),"Complete","Add owner and note"),IF(G89="","Assign owner","Review evidence"))</x:f>
        <x:v>Assign owner</x:v>
      </x:c>
      <x:c r="K89" s="1"/>
    </x:row>
    <x:row r="90" ht="42" customHeight="1">
      <x:c r="A90" s="18" t="str">
        <x:v>897150</x:v>
      </x:c>
      <x:c r="B90" s="19" t="str">
        <x:v>Debt collection</x:v>
      </x:c>
      <x:c r="C90" s="19" t="str">
        <x:v>2014-06-16</x:v>
      </x:c>
      <x:c r="D90" s="19" t="str">
        <x:v>2015-10-27</x:v>
      </x:c>
      <x:c r="E90" s="19" t="n">
        <x:v>498</x:v>
      </x:c>
      <x:c r="F90" s="19" t="str">
        <x:v>Routing review; Source timely=No</x:v>
      </x:c>
      <x:c r="G90" s="17" t="str"/>
      <x:c r="H90" s="17" t="str">
        <x:v>Not started</x:v>
      </x:c>
      <x:c r="I90" s="17" t="str"/>
      <x:c r="J90" s="19" t="str">
        <x:f>IF(H90="Resolved",IF(AND(G90&lt;&gt;"",I90&lt;&gt;""),"Complete","Add owner and note"),IF(G90="","Assign owner","Review evidence"))</x:f>
        <x:v>Assign owner</x:v>
      </x:c>
      <x:c r="K90" s="1"/>
    </x:row>
    <x:row r="91" ht="42" customHeight="1">
      <x:c r="A91" s="18" t="str">
        <x:v>1156550</x:v>
      </x:c>
      <x:c r="B91" s="19" t="str">
        <x:v>Payday loan</x:v>
      </x:c>
      <x:c r="C91" s="19" t="str">
        <x:v>2014-12-15</x:v>
      </x:c>
      <x:c r="D91" s="19" t="str">
        <x:v>2016-04-25</x:v>
      </x:c>
      <x:c r="E91" s="19" t="n">
        <x:v>497</x:v>
      </x:c>
      <x:c r="F91" s="19" t="str">
        <x:v>Routing review; Source timely=No</x:v>
      </x:c>
      <x:c r="G91" s="17" t="str"/>
      <x:c r="H91" s="17" t="str">
        <x:v>Not started</x:v>
      </x:c>
      <x:c r="I91" s="17" t="str"/>
      <x:c r="J91" s="19" t="str">
        <x:f>IF(H91="Resolved",IF(AND(G91&lt;&gt;"",I91&lt;&gt;""),"Complete","Add owner and note"),IF(G91="","Assign owner","Review evidence"))</x:f>
        <x:v>Assign owner</x:v>
      </x:c>
      <x:c r="K91" s="1"/>
    </x:row>
    <x:row r="92" ht="42" customHeight="1">
      <x:c r="A92" s="18" t="str">
        <x:v>1156551</x:v>
      </x:c>
      <x:c r="B92" s="19" t="str">
        <x:v>Payday loan</x:v>
      </x:c>
      <x:c r="C92" s="19" t="str">
        <x:v>2014-12-15</x:v>
      </x:c>
      <x:c r="D92" s="19" t="str">
        <x:v>2016-04-25</x:v>
      </x:c>
      <x:c r="E92" s="19" t="n">
        <x:v>497</x:v>
      </x:c>
      <x:c r="F92" s="19" t="str">
        <x:v>Routing review; Source timely=No</x:v>
      </x:c>
      <x:c r="G92" s="17" t="str"/>
      <x:c r="H92" s="17" t="str">
        <x:v>Not started</x:v>
      </x:c>
      <x:c r="I92" s="17" t="str"/>
      <x:c r="J92" s="19" t="str">
        <x:f>IF(H92="Resolved",IF(AND(G92&lt;&gt;"",I92&lt;&gt;""),"Complete","Add owner and note"),IF(G92="","Assign owner","Review evidence"))</x:f>
        <x:v>Assign owner</x:v>
      </x:c>
      <x:c r="K92" s="1"/>
    </x:row>
    <x:row r="93" ht="42" customHeight="1">
      <x:c r="A93" s="18" t="str">
        <x:v>114550</x:v>
      </x:c>
      <x:c r="B93" s="19" t="str">
        <x:v>Mortgage</x:v>
      </x:c>
      <x:c r="C93" s="19" t="str">
        <x:v>2012-07-10</x:v>
      </x:c>
      <x:c r="D93" s="19" t="str">
        <x:v>2013-11-18</x:v>
      </x:c>
      <x:c r="E93" s="19" t="n">
        <x:v>496</x:v>
      </x:c>
      <x:c r="F93" s="19" t="str">
        <x:v>Routing review</x:v>
      </x:c>
      <x:c r="G93" s="17" t="str"/>
      <x:c r="H93" s="17" t="str">
        <x:v>Not started</x:v>
      </x:c>
      <x:c r="I93" s="17" t="str"/>
      <x:c r="J93" s="19" t="str">
        <x:f>IF(H93="Resolved",IF(AND(G93&lt;&gt;"",I93&lt;&gt;""),"Complete","Add owner and note"),IF(G93="","Assign owner","Review evidence"))</x:f>
        <x:v>Assign owner</x:v>
      </x:c>
      <x:c r="K93" s="1"/>
    </x:row>
    <x:row r="94" ht="42" customHeight="1">
      <x:c r="A94" s="18" t="str">
        <x:v>830340</x:v>
      </x:c>
      <x:c r="B94" s="19" t="str">
        <x:v>Debt collection</x:v>
      </x:c>
      <x:c r="C94" s="19" t="str">
        <x:v>2014-04-29</x:v>
      </x:c>
      <x:c r="D94" s="19" t="str">
        <x:v>2015-08-24</x:v>
      </x:c>
      <x:c r="E94" s="19" t="n">
        <x:v>482</x:v>
      </x:c>
      <x:c r="F94" s="19" t="str">
        <x:v>Routing review</x:v>
      </x:c>
      <x:c r="G94" s="17" t="str"/>
      <x:c r="H94" s="17" t="str">
        <x:v>Not started</x:v>
      </x:c>
      <x:c r="I94" s="17" t="str"/>
      <x:c r="J94" s="19" t="str">
        <x:f>IF(H94="Resolved",IF(AND(G94&lt;&gt;"",I94&lt;&gt;""),"Complete","Add owner and note"),IF(G94="","Assign owner","Review evidence"))</x:f>
        <x:v>Assign owner</x:v>
      </x:c>
      <x:c r="K94" s="1"/>
    </x:row>
    <x:row r="95" ht="42" customHeight="1">
      <x:c r="A95" s="18" t="str">
        <x:v>124431</x:v>
      </x:c>
      <x:c r="B95" s="19" t="str">
        <x:v>Mortgage</x:v>
      </x:c>
      <x:c r="C95" s="19" t="str">
        <x:v>2012-07-25</x:v>
      </x:c>
      <x:c r="D95" s="19" t="str">
        <x:v>2013-11-18</x:v>
      </x:c>
      <x:c r="E95" s="19" t="n">
        <x:v>481</x:v>
      </x:c>
      <x:c r="F95" s="19" t="str">
        <x:v>Routing review</x:v>
      </x:c>
      <x:c r="G95" s="17" t="str"/>
      <x:c r="H95" s="17" t="str">
        <x:v>Not started</x:v>
      </x:c>
      <x:c r="I95" s="17" t="str"/>
      <x:c r="J95" s="19" t="str">
        <x:f>IF(H95="Resolved",IF(AND(G95&lt;&gt;"",I95&lt;&gt;""),"Complete","Add owner and note"),IF(G95="","Assign owner","Review evidence"))</x:f>
        <x:v>Assign owner</x:v>
      </x:c>
      <x:c r="K95" s="1"/>
    </x:row>
    <x:row r="96" ht="42" customHeight="1">
      <x:c r="A96" s="18" t="str">
        <x:v>1334353</x:v>
      </x:c>
      <x:c r="B96" s="19" t="str">
        <x:v>Bank account or service</x:v>
      </x:c>
      <x:c r="C96" s="19" t="str">
        <x:v>2015-04-17</x:v>
      </x:c>
      <x:c r="D96" s="19" t="str">
        <x:v>2016-08-10</x:v>
      </x:c>
      <x:c r="E96" s="19" t="n">
        <x:v>481</x:v>
      </x:c>
      <x:c r="F96" s="19" t="str">
        <x:v>Routing review</x:v>
      </x:c>
      <x:c r="G96" s="17" t="str"/>
      <x:c r="H96" s="17" t="str">
        <x:v>Not started</x:v>
      </x:c>
      <x:c r="I96" s="17" t="str"/>
      <x:c r="J96" s="19" t="str">
        <x:f>IF(H96="Resolved",IF(AND(G96&lt;&gt;"",I96&lt;&gt;""),"Complete","Add owner and note"),IF(G96="","Assign owner","Review evidence"))</x:f>
        <x:v>Assign owner</x:v>
      </x:c>
      <x:c r="K96" s="1"/>
    </x:row>
    <x:row r="97" ht="42" customHeight="1">
      <x:c r="A97" s="18" t="str">
        <x:v>1982565</x:v>
      </x:c>
      <x:c r="B97" s="19" t="str">
        <x:v>Consumer Loan</x:v>
      </x:c>
      <x:c r="C97" s="19" t="str">
        <x:v>2016-06-24</x:v>
      </x:c>
      <x:c r="D97" s="19" t="str">
        <x:v>2017-10-17</x:v>
      </x:c>
      <x:c r="E97" s="19" t="n">
        <x:v>480</x:v>
      </x:c>
      <x:c r="F97" s="19" t="str">
        <x:v>Routing review</x:v>
      </x:c>
      <x:c r="G97" s="17" t="str"/>
      <x:c r="H97" s="17" t="str">
        <x:v>Not started</x:v>
      </x:c>
      <x:c r="I97" s="17" t="str"/>
      <x:c r="J97" s="19" t="str">
        <x:f>IF(H97="Resolved",IF(AND(G97&lt;&gt;"",I97&lt;&gt;""),"Complete","Add owner and note"),IF(G97="","Assign owner","Review evidence"))</x:f>
        <x:v>Assign owner</x:v>
      </x:c>
      <x:c r="K97" s="1"/>
    </x:row>
    <x:row r="98" ht="42" customHeight="1">
      <x:c r="A98" s="18" t="str">
        <x:v>1363479</x:v>
      </x:c>
      <x:c r="B98" s="19" t="str">
        <x:v>Debt collection</x:v>
      </x:c>
      <x:c r="C98" s="19" t="str">
        <x:v>2015-05-06</x:v>
      </x:c>
      <x:c r="D98" s="19" t="str">
        <x:v>2016-08-26</x:v>
      </x:c>
      <x:c r="E98" s="19" t="n">
        <x:v>478</x:v>
      </x:c>
      <x:c r="F98" s="19" t="str">
        <x:v>Routing review</x:v>
      </x:c>
      <x:c r="G98" s="17" t="str"/>
      <x:c r="H98" s="17" t="str">
        <x:v>Not started</x:v>
      </x:c>
      <x:c r="I98" s="17" t="str"/>
      <x:c r="J98" s="19" t="str">
        <x:f>IF(H98="Resolved",IF(AND(G98&lt;&gt;"",I98&lt;&gt;""),"Complete","Add owner and note"),IF(G98="","Assign owner","Review evidence"))</x:f>
        <x:v>Assign owner</x:v>
      </x:c>
      <x:c r="K98" s="1"/>
    </x:row>
    <x:row r="99" ht="42" customHeight="1">
      <x:c r="A99" s="18" t="str">
        <x:v>1367778</x:v>
      </x:c>
      <x:c r="B99" s="19" t="str">
        <x:v>Debt collection</x:v>
      </x:c>
      <x:c r="C99" s="19" t="str">
        <x:v>2015-05-08</x:v>
      </x:c>
      <x:c r="D99" s="19" t="str">
        <x:v>2016-08-26</x:v>
      </x:c>
      <x:c r="E99" s="19" t="n">
        <x:v>476</x:v>
      </x:c>
      <x:c r="F99" s="19" t="str">
        <x:v>Routing review</x:v>
      </x:c>
      <x:c r="G99" s="17" t="str"/>
      <x:c r="H99" s="17" t="str">
        <x:v>Not started</x:v>
      </x:c>
      <x:c r="I99" s="17" t="str"/>
      <x:c r="J99" s="19" t="str">
        <x:f>IF(H99="Resolved",IF(AND(G99&lt;&gt;"",I99&lt;&gt;""),"Complete","Add owner and note"),IF(G99="","Assign owner","Review evidence"))</x:f>
        <x:v>Assign owner</x:v>
      </x:c>
      <x:c r="K99" s="1"/>
    </x:row>
    <x:row r="100" ht="42" customHeight="1">
      <x:c r="A100" s="18" t="str">
        <x:v>1663183</x:v>
      </x:c>
      <x:c r="B100" s="19" t="str">
        <x:v>Debt collection</x:v>
      </x:c>
      <x:c r="C100" s="19" t="str">
        <x:v>2015-11-19</x:v>
      </x:c>
      <x:c r="D100" s="19" t="str">
        <x:v>2017-03-09</x:v>
      </x:c>
      <x:c r="E100" s="19" t="n">
        <x:v>476</x:v>
      </x:c>
      <x:c r="F100" s="19" t="str">
        <x:v>Routing review</x:v>
      </x:c>
      <x:c r="G100" s="17" t="str"/>
      <x:c r="H100" s="17" t="str">
        <x:v>Not started</x:v>
      </x:c>
      <x:c r="I100" s="17" t="str"/>
      <x:c r="J100" s="19" t="str">
        <x:f>IF(H100="Resolved",IF(AND(G100&lt;&gt;"",I100&lt;&gt;""),"Complete","Add owner and note"),IF(G100="","Assign owner","Review evidence"))</x:f>
        <x:v>Assign owner</x:v>
      </x:c>
      <x:c r="K100" s="1"/>
    </x:row>
    <x:row r="101" ht="42" customHeight="1">
      <x:c r="A101" s="18" t="str">
        <x:v>258349</x:v>
      </x:c>
      <x:c r="B101" s="19" t="str">
        <x:v>Mortgage</x:v>
      </x:c>
      <x:c r="C101" s="19" t="str">
        <x:v>2013-01-24</x:v>
      </x:c>
      <x:c r="D101" s="19" t="str">
        <x:v>2014-05-15</x:v>
      </x:c>
      <x:c r="E101" s="19" t="n">
        <x:v>476</x:v>
      </x:c>
      <x:c r="F101" s="19" t="str">
        <x:v>Routing review</x:v>
      </x:c>
      <x:c r="G101" s="17" t="str"/>
      <x:c r="H101" s="17" t="str">
        <x:v>Not started</x:v>
      </x:c>
      <x:c r="I101" s="17" t="str"/>
      <x:c r="J101" s="19" t="str">
        <x:f>IF(H101="Resolved",IF(AND(G101&lt;&gt;"",I101&lt;&gt;""),"Complete","Add owner and note"),IF(G101="","Assign owner","Review evidence"))</x:f>
        <x:v>Assign owner</x:v>
      </x:c>
      <x:c r="K101" s="1"/>
    </x:row>
    <x:row r="102" ht="42" customHeight="1">
      <x:c r="A102" s="18" t="str">
        <x:v>115896</x:v>
      </x:c>
      <x:c r="B102" s="19" t="str">
        <x:v>Bank account or service</x:v>
      </x:c>
      <x:c r="C102" s="19" t="str">
        <x:v>2012-07-11</x:v>
      </x:c>
      <x:c r="D102" s="19" t="str">
        <x:v>2013-10-18</x:v>
      </x:c>
      <x:c r="E102" s="19" t="n">
        <x:v>464</x:v>
      </x:c>
      <x:c r="F102" s="19" t="str">
        <x:v>Routing review</x:v>
      </x:c>
      <x:c r="G102" s="17" t="str"/>
      <x:c r="H102" s="17" t="str">
        <x:v>Not started</x:v>
      </x:c>
      <x:c r="I102" s="17" t="str"/>
      <x:c r="J102" s="19" t="str">
        <x:f>IF(H102="Resolved",IF(AND(G102&lt;&gt;"",I102&lt;&gt;""),"Complete","Add owner and note"),IF(G102="","Assign owner","Review evidence"))</x:f>
        <x:v>Assign owner</x:v>
      </x:c>
      <x:c r="K102" s="1"/>
    </x:row>
    <x:row r="103" ht="42" customHeight="1">
      <x:c r="A103" s="18" t="str">
        <x:v>173936</x:v>
      </x:c>
      <x:c r="B103" s="19" t="str">
        <x:v>Mortgage</x:v>
      </x:c>
      <x:c r="C103" s="19" t="str">
        <x:v>2012-10-18</x:v>
      </x:c>
      <x:c r="D103" s="19" t="str">
        <x:v>2014-01-24</x:v>
      </x:c>
      <x:c r="E103" s="19" t="n">
        <x:v>463</x:v>
      </x:c>
      <x:c r="F103" s="19" t="str">
        <x:v>Routing review</x:v>
      </x:c>
      <x:c r="G103" s="17" t="str"/>
      <x:c r="H103" s="17" t="str">
        <x:v>Not started</x:v>
      </x:c>
      <x:c r="I103" s="17" t="str"/>
      <x:c r="J103" s="19" t="str">
        <x:f>IF(H103="Resolved",IF(AND(G103&lt;&gt;"",I103&lt;&gt;""),"Complete","Add owner and note"),IF(G103="","Assign owner","Review evidence"))</x:f>
        <x:v>Assign owner</x:v>
      </x:c>
      <x:c r="K103" s="1"/>
    </x:row>
    <x:row r="104" ht="42" customHeight="1">
      <x:c r="A104" s="18" t="str">
        <x:v>945345</x:v>
      </x:c>
      <x:c r="B104" s="19" t="str">
        <x:v>Debt collection</x:v>
      </x:c>
      <x:c r="C104" s="19" t="str">
        <x:v>2014-07-21</x:v>
      </x:c>
      <x:c r="D104" s="19" t="str">
        <x:v>2015-10-27</x:v>
      </x:c>
      <x:c r="E104" s="19" t="n">
        <x:v>463</x:v>
      </x:c>
      <x:c r="F104" s="19" t="str">
        <x:v>Routing review; Source timely=No</x:v>
      </x:c>
      <x:c r="G104" s="17" t="str"/>
      <x:c r="H104" s="17" t="str">
        <x:v>Not started</x:v>
      </x:c>
      <x:c r="I104" s="17" t="str"/>
      <x:c r="J104" s="19" t="str">
        <x:f>IF(H104="Resolved",IF(AND(G104&lt;&gt;"",I104&lt;&gt;""),"Complete","Add owner and note"),IF(G104="","Assign owner","Review evidence"))</x:f>
        <x:v>Assign owner</x:v>
      </x:c>
      <x:c r="K104" s="1"/>
    </x:row>
    <x:row r="105" ht="42" customHeight="1">
      <x:c r="A105" s="18" t="str">
        <x:v>186266</x:v>
      </x:c>
      <x:c r="B105" s="19" t="str">
        <x:v>Mortgage</x:v>
      </x:c>
      <x:c r="C105" s="19" t="str">
        <x:v>2012-11-02</x:v>
      </x:c>
      <x:c r="D105" s="19" t="str">
        <x:v>2014-02-07</x:v>
      </x:c>
      <x:c r="E105" s="19" t="n">
        <x:v>462</x:v>
      </x:c>
      <x:c r="F105" s="19" t="str">
        <x:v>Routing review</x:v>
      </x:c>
      <x:c r="G105" s="17" t="str"/>
      <x:c r="H105" s="17" t="str">
        <x:v>Not started</x:v>
      </x:c>
      <x:c r="I105" s="17" t="str"/>
      <x:c r="J105" s="19" t="str">
        <x:f>IF(H105="Resolved",IF(AND(G105&lt;&gt;"",I105&lt;&gt;""),"Complete","Add owner and note"),IF(G105="","Assign owner","Review evidence"))</x:f>
        <x:v>Assign owner</x:v>
      </x:c>
      <x:c r="K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</x:sheetData>
  <x:dataValidations count="1">
    <x:dataValidation type="list" sqref="H6:H105">
      <x:formula1>"Not started,In progress,Resolved"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3ffefa0ce14df5"/>
  </x:tableParts>
</x:worksheet>
</file>